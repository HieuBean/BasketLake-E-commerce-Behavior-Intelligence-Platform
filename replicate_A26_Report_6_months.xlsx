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1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26 Pham Ngu Lao" sheetId="1" state="visible" r:id="rId3"/>
    <sheet name="May" sheetId="2" state="visible" r:id="rId4"/>
    <sheet name="June" sheetId="3" state="visible" r:id="rId5"/>
    <sheet name="July" sheetId="4" state="visible" r:id="rId6"/>
    <sheet name="August" sheetId="5" state="visible" r:id="rId7"/>
    <sheet name="September" sheetId="6" state="visible" r:id="rId8"/>
    <sheet name="October" sheetId="7" state="visible" r:id="rId9"/>
    <sheet name="6 Months visualization" sheetId="8" state="visible" r:id="rId10"/>
    <sheet name="Sheet8" sheetId="9" state="hidden" r:id="rId11"/>
    <sheet name="Sheet6" sheetId="10" state="hidden" r:id="rId12"/>
    <sheet name="Sheet5" sheetId="11" state="hidden" r:id="rId13"/>
    <sheet name="Allocation Pricing (PNL) -" sheetId="12" state="hidden" r:id="rId14"/>
    <sheet name="Sheet2" sheetId="13" state="hidden" r:id="rId15"/>
    <sheet name="Sheet3" sheetId="14" state="hidden" r:id="rId16"/>
    <sheet name="Sheet4" sheetId="15" state="hidden" r:id="rId17"/>
  </sheets>
  <definedNames>
    <definedName function="false" hidden="true" localSheetId="0" name="_xlnm._FilterDatabase" vbProcedure="false">'A26 Pham Ngu Lao'!$A$6:$AC$742</definedName>
    <definedName function="false" hidden="true" localSheetId="2" name="_xlnm._FilterDatabase" vbProcedure="false">June!$A$2:$AH$22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0" authorId="0">
      <text>
        <r>
          <rPr>
            <sz val="10"/>
            <rFont val="Arial"/>
            <family val="2"/>
          </rPr>
          <t xml:space="preserve">======
ID#AAAB2ozf0LY
tc={0db4c6d8-4cfa-4dc2-865b-baa610ffa616}    (2026-04-02 06:17:25)
[Threaded comment]
 Your version of Excel allows you to read this threaded comment; however, any edits to it will get removed if the file is opened in a newer version of Excel. Learn more: https://go.microsoft.com/fwlink/?linkid=870924
Comment:
	High demand</t>
        </r>
      </text>
    </comment>
  </commentList>
</comments>
</file>

<file path=xl/sharedStrings.xml><?xml version="1.0" encoding="utf-8"?>
<sst xmlns="http://schemas.openxmlformats.org/spreadsheetml/2006/main" count="11785" uniqueCount="2861">
  <si>
    <t xml:space="preserve">A26 Pham Ngu Lao</t>
  </si>
  <si>
    <t xml:space="preserve">Địa chỉ: Pham Ngu Lao, District 1, HCMC</t>
  </si>
  <si>
    <t xml:space="preserve">REPORT</t>
  </si>
  <si>
    <t xml:space="preserve">Mã đặt phòng</t>
  </si>
  <si>
    <t xml:space="preserve">Loại phòng</t>
  </si>
  <si>
    <t xml:space="preserve">Tên phòng</t>
  </si>
  <si>
    <t xml:space="preserve">Tên khách</t>
  </si>
  <si>
    <t xml:space="preserve">Ngày đến</t>
  </si>
  <si>
    <t xml:space="preserve">Checkin</t>
  </si>
  <si>
    <t xml:space="preserve">Ngày đi</t>
  </si>
  <si>
    <t xml:space="preserve">Checkout</t>
  </si>
  <si>
    <t xml:space="preserve">Tiền phòng</t>
  </si>
  <si>
    <t xml:space="preserve">Dịch vụ</t>
  </si>
  <si>
    <t xml:space="preserve">Tổng doanh thu</t>
  </si>
  <si>
    <t xml:space="preserve">Nợ trước</t>
  </si>
  <si>
    <t xml:space="preserve">Tiền mặt</t>
  </si>
  <si>
    <t xml:space="preserve">Thẻ tín dụng</t>
  </si>
  <si>
    <t xml:space="preserve">Chuyển khoản</t>
  </si>
  <si>
    <t xml:space="preserve">Công nợ</t>
  </si>
  <si>
    <t xml:space="preserve">Còn thiếu</t>
  </si>
  <si>
    <t xml:space="preserve">SĐT</t>
  </si>
  <si>
    <t xml:space="preserve">Email</t>
  </si>
  <si>
    <t xml:space="preserve">CMND/Hộ chiếu</t>
  </si>
  <si>
    <t xml:space="preserve">Nguồn</t>
  </si>
  <si>
    <t xml:space="preserve">Thị trường</t>
  </si>
  <si>
    <t xml:space="preserve">Trạng thái</t>
  </si>
  <si>
    <t xml:space="preserve">Số hóa đơn</t>
  </si>
  <si>
    <t xml:space="preserve">Mã CMS</t>
  </si>
  <si>
    <t xml:space="preserve">Giá trung bình</t>
  </si>
  <si>
    <t xml:space="preserve">Số đêm</t>
  </si>
  <si>
    <t xml:space="preserve">1</t>
  </si>
  <si>
    <t xml:space="preserve">DELUXE-PNL</t>
  </si>
  <si>
    <t xml:space="preserve">503</t>
  </si>
  <si>
    <t xml:space="preserve">chị trang</t>
  </si>
  <si>
    <t xml:space="preserve">22/05/24 09:40</t>
  </si>
  <si>
    <t xml:space="preserve">22/05/24 15:54</t>
  </si>
  <si>
    <t xml:space="preserve">Walkin</t>
  </si>
  <si>
    <t xml:space="preserve">CHECKOUT</t>
  </si>
  <si>
    <t xml:space="preserve">9</t>
  </si>
  <si>
    <t xml:space="preserve">303</t>
  </si>
  <si>
    <t xml:space="preserve">Kayden</t>
  </si>
  <si>
    <t xml:space="preserve">24/05/24 21:00</t>
  </si>
  <si>
    <t xml:space="preserve">25/05/24 08:59</t>
  </si>
  <si>
    <t xml:space="preserve">Booked_CTV</t>
  </si>
  <si>
    <t xml:space="preserve">5</t>
  </si>
  <si>
    <t xml:space="preserve">403</t>
  </si>
  <si>
    <t xml:space="preserve">Kang Byeong Jae</t>
  </si>
  <si>
    <t xml:space="preserve">24/05/24 23:40</t>
  </si>
  <si>
    <t xml:space="preserve">25/05/24 09:00</t>
  </si>
  <si>
    <t xml:space="preserve">ONLINE</t>
  </si>
  <si>
    <t xml:space="preserve">HM5TCXPYJ5_LDCB1F</t>
  </si>
  <si>
    <t xml:space="preserve">13</t>
  </si>
  <si>
    <t xml:space="preserve">Long Hoàng</t>
  </si>
  <si>
    <t xml:space="preserve">25/05/24 14:09</t>
  </si>
  <si>
    <t xml:space="preserve">Booked_TA</t>
  </si>
  <si>
    <t xml:space="preserve">16</t>
  </si>
  <si>
    <t xml:space="preserve">NG</t>
  </si>
  <si>
    <t xml:space="preserve">25/05/24 15:04</t>
  </si>
  <si>
    <t xml:space="preserve">25/05/24 17:24</t>
  </si>
  <si>
    <t xml:space="preserve">14</t>
  </si>
  <si>
    <t xml:space="preserve">SUP-PNL</t>
  </si>
  <si>
    <t xml:space="preserve">302</t>
  </si>
  <si>
    <t xml:space="preserve">Đào Ngọc Mạnh</t>
  </si>
  <si>
    <t xml:space="preserve">25/05/24 18:42</t>
  </si>
  <si>
    <t xml:space="preserve">12</t>
  </si>
  <si>
    <t xml:space="preserve">STD-PNL</t>
  </si>
  <si>
    <t xml:space="preserve">501</t>
  </si>
  <si>
    <t xml:space="preserve">Tuấn</t>
  </si>
  <si>
    <t xml:space="preserve">25/05/24 12:43</t>
  </si>
  <si>
    <t xml:space="preserve">26/05/24 08:35</t>
  </si>
  <si>
    <t xml:space="preserve">8</t>
  </si>
  <si>
    <t xml:space="preserve">SUP-Q-PNL</t>
  </si>
  <si>
    <t xml:space="preserve">502</t>
  </si>
  <si>
    <t xml:space="preserve">ASPA Baptiste</t>
  </si>
  <si>
    <t xml:space="preserve">24/05/24 19:03</t>
  </si>
  <si>
    <t xml:space="preserve">6</t>
  </si>
  <si>
    <t xml:space="preserve">301</t>
  </si>
  <si>
    <t xml:space="preserve">Đặng Mai</t>
  </si>
  <si>
    <t xml:space="preserve">25/05/24 20:06</t>
  </si>
  <si>
    <t xml:space="preserve">26/05/24 09:05</t>
  </si>
  <si>
    <t xml:space="preserve">HMKHY5YWEM_LDCB1F</t>
  </si>
  <si>
    <t xml:space="preserve">15</t>
  </si>
  <si>
    <t xml:space="preserve">401</t>
  </si>
  <si>
    <t xml:space="preserve">Lý Minh Trí</t>
  </si>
  <si>
    <t xml:space="preserve">25/05/24 14:16</t>
  </si>
  <si>
    <t xml:space="preserve">26/05/24 10:06</t>
  </si>
  <si>
    <t xml:space="preserve">11</t>
  </si>
  <si>
    <t xml:space="preserve">601</t>
  </si>
  <si>
    <t xml:space="preserve">Lê Nhật</t>
  </si>
  <si>
    <t xml:space="preserve">25/05/24 18:01</t>
  </si>
  <si>
    <t xml:space="preserve">26/05/24 11:00</t>
  </si>
  <si>
    <t xml:space="preserve">17</t>
  </si>
  <si>
    <t xml:space="preserve">602</t>
  </si>
  <si>
    <t xml:space="preserve">Russell</t>
  </si>
  <si>
    <t xml:space="preserve">25/05/24 18:38</t>
  </si>
  <si>
    <t xml:space="preserve">19</t>
  </si>
  <si>
    <t xml:space="preserve">201</t>
  </si>
  <si>
    <t xml:space="preserve">Quỳnh Như</t>
  </si>
  <si>
    <t xml:space="preserve">25/05/24 22:35</t>
  </si>
  <si>
    <t xml:space="preserve">26/05/24 16:00</t>
  </si>
  <si>
    <t xml:space="preserve">22</t>
  </si>
  <si>
    <t xml:space="preserve">Jo Phạm</t>
  </si>
  <si>
    <t xml:space="preserve">26/05/24 13:59</t>
  </si>
  <si>
    <t xml:space="preserve">26/05/24 20:00</t>
  </si>
  <si>
    <t xml:space="preserve">23</t>
  </si>
  <si>
    <t xml:space="preserve">603</t>
  </si>
  <si>
    <t xml:space="preserve">Lê Văn Thấu</t>
  </si>
  <si>
    <t xml:space="preserve">26/05/24 19:44</t>
  </si>
  <si>
    <t xml:space="preserve">27/05/24 11:00</t>
  </si>
  <si>
    <t xml:space="preserve">24</t>
  </si>
  <si>
    <t xml:space="preserve">26</t>
  </si>
  <si>
    <t xml:space="preserve">Elvinas</t>
  </si>
  <si>
    <t xml:space="preserve">26/05/24 19:31</t>
  </si>
  <si>
    <t xml:space="preserve">Công ty</t>
  </si>
  <si>
    <t xml:space="preserve">29</t>
  </si>
  <si>
    <t xml:space="preserve">10</t>
  </si>
  <si>
    <t xml:space="preserve">402</t>
  </si>
  <si>
    <t xml:space="preserve">Linh Đan</t>
  </si>
  <si>
    <t xml:space="preserve">25/05/24 15:34</t>
  </si>
  <si>
    <t xml:space="preserve">27/05/24 11:30</t>
  </si>
  <si>
    <t xml:space="preserve">30</t>
  </si>
  <si>
    <t xml:space="preserve">Nghĩa Trịnh</t>
  </si>
  <si>
    <t xml:space="preserve">27/05/24 12:00</t>
  </si>
  <si>
    <t xml:space="preserve">27/05/24 23:00</t>
  </si>
  <si>
    <t xml:space="preserve">33</t>
  </si>
  <si>
    <t xml:space="preserve">31</t>
  </si>
  <si>
    <t xml:space="preserve">Võ Việt Trung</t>
  </si>
  <si>
    <t xml:space="preserve">27/05/24 20:14</t>
  </si>
  <si>
    <t xml:space="preserve">28/05/24 09:09</t>
  </si>
  <si>
    <t xml:space="preserve">34</t>
  </si>
  <si>
    <t xml:space="preserve">88825144721</t>
  </si>
  <si>
    <t xml:space="preserve">Lê Ngọc Long</t>
  </si>
  <si>
    <t xml:space="preserve">28/05/24 09:34</t>
  </si>
  <si>
    <t xml:space="preserve">28</t>
  </si>
  <si>
    <t xml:space="preserve">Tien Tien</t>
  </si>
  <si>
    <t xml:space="preserve">28/05/24 23:21</t>
  </si>
  <si>
    <t xml:space="preserve">29/05/24 10:37</t>
  </si>
  <si>
    <t xml:space="preserve">phạm uyên thuỳ</t>
  </si>
  <si>
    <t xml:space="preserve">27/05/24 14:33</t>
  </si>
  <si>
    <t xml:space="preserve">29/05/24 11:00</t>
  </si>
  <si>
    <t xml:space="preserve">25</t>
  </si>
  <si>
    <t xml:space="preserve">Phan thị trang</t>
  </si>
  <si>
    <t xml:space="preserve">26/05/24 23:40</t>
  </si>
  <si>
    <t xml:space="preserve">32</t>
  </si>
  <si>
    <t xml:space="preserve">Tran huu Duc</t>
  </si>
  <si>
    <t xml:space="preserve">28/05/24 17:12</t>
  </si>
  <si>
    <t xml:space="preserve">35</t>
  </si>
  <si>
    <t xml:space="preserve">Bai Song</t>
  </si>
  <si>
    <t xml:space="preserve">28/05/24 17:43</t>
  </si>
  <si>
    <t xml:space="preserve">37</t>
  </si>
  <si>
    <t xml:space="preserve">HM52SZN2WB_LDCB1F</t>
  </si>
  <si>
    <t xml:space="preserve">Verma Shekher</t>
  </si>
  <si>
    <t xml:space="preserve">28/05/24 11:15</t>
  </si>
  <si>
    <t xml:space="preserve">29/05/24 12:00</t>
  </si>
  <si>
    <t xml:space="preserve">36</t>
  </si>
  <si>
    <t xml:space="preserve">39</t>
  </si>
  <si>
    <t xml:space="preserve">101</t>
  </si>
  <si>
    <t xml:space="preserve">Nguyễn Trung Kiên</t>
  </si>
  <si>
    <t xml:space="preserve">28/05/24 23:35</t>
  </si>
  <si>
    <t xml:space="preserve">42</t>
  </si>
  <si>
    <t xml:space="preserve">29/05/24 17:35</t>
  </si>
  <si>
    <t xml:space="preserve">27</t>
  </si>
  <si>
    <t xml:space="preserve">29/05/24 17:36</t>
  </si>
  <si>
    <t xml:space="preserve">43</t>
  </si>
  <si>
    <t xml:space="preserve">202</t>
  </si>
  <si>
    <t xml:space="preserve">Nguyễn Thương</t>
  </si>
  <si>
    <t xml:space="preserve">29/05/24 14:53</t>
  </si>
  <si>
    <t xml:space="preserve">29/05/24 17:38</t>
  </si>
  <si>
    <t xml:space="preserve">46</t>
  </si>
  <si>
    <t xml:space="preserve">Huỳnh Tuấn Kiệt</t>
  </si>
  <si>
    <t xml:space="preserve">28/05/24 17:05</t>
  </si>
  <si>
    <t xml:space="preserve">30/05/24 08:06</t>
  </si>
  <si>
    <t xml:space="preserve">38</t>
  </si>
  <si>
    <t xml:space="preserve">102</t>
  </si>
  <si>
    <t xml:space="preserve">Trần Thị Tường Vi</t>
  </si>
  <si>
    <t xml:space="preserve">28/05/24 18:59</t>
  </si>
  <si>
    <t xml:space="preserve">30/05/24 10:57</t>
  </si>
  <si>
    <t xml:space="preserve">40</t>
  </si>
  <si>
    <t xml:space="preserve">Quốc Bảo</t>
  </si>
  <si>
    <t xml:space="preserve">29/05/24 20:15</t>
  </si>
  <si>
    <t xml:space="preserve">30/05/24 11:00</t>
  </si>
  <si>
    <t xml:space="preserve">45</t>
  </si>
  <si>
    <t xml:space="preserve">Choi Jae Min</t>
  </si>
  <si>
    <t xml:space="preserve">30/05/24 12:30</t>
  </si>
  <si>
    <t xml:space="preserve">30/05/24 12:51</t>
  </si>
  <si>
    <t xml:space="preserve">51</t>
  </si>
  <si>
    <t xml:space="preserve">Ivy Van</t>
  </si>
  <si>
    <t xml:space="preserve">27/05/24 15:12</t>
  </si>
  <si>
    <t xml:space="preserve">30/05/24 13:51</t>
  </si>
  <si>
    <t xml:space="preserve">48</t>
  </si>
  <si>
    <t xml:space="preserve">Hứa Bích Trân</t>
  </si>
  <si>
    <t xml:space="preserve">30/05/24 14:46</t>
  </si>
  <si>
    <t xml:space="preserve">31/05/24 08:53</t>
  </si>
  <si>
    <t xml:space="preserve">53</t>
  </si>
  <si>
    <t xml:space="preserve">Nguyễn Xuân Hải</t>
  </si>
  <si>
    <t xml:space="preserve">28/05/24 18:23</t>
  </si>
  <si>
    <t xml:space="preserve">31/05/24 08:55</t>
  </si>
  <si>
    <t xml:space="preserve">52</t>
  </si>
  <si>
    <t xml:space="preserve">chị Mão - anh Cảnh</t>
  </si>
  <si>
    <t xml:space="preserve">30/05/24 21:45</t>
  </si>
  <si>
    <t xml:space="preserve">31/05/24 09:11</t>
  </si>
  <si>
    <t xml:space="preserve">58</t>
  </si>
  <si>
    <t xml:space="preserve">Guest</t>
  </si>
  <si>
    <t xml:space="preserve">59</t>
  </si>
  <si>
    <t xml:space="preserve">20</t>
  </si>
  <si>
    <t xml:space="preserve">Kevin Smith</t>
  </si>
  <si>
    <t xml:space="preserve">26/05/24 11:12</t>
  </si>
  <si>
    <t xml:space="preserve">31/05/24 11:00</t>
  </si>
  <si>
    <t xml:space="preserve">18</t>
  </si>
  <si>
    <t xml:space="preserve">MB-PNL</t>
  </si>
  <si>
    <t xml:space="preserve">Spa</t>
  </si>
  <si>
    <t xml:space="preserve">18/05/24 19:15</t>
  </si>
  <si>
    <t xml:space="preserve">01/06/24 11:00</t>
  </si>
  <si>
    <t xml:space="preserve">3</t>
  </si>
  <si>
    <t xml:space="preserve">신 민석</t>
  </si>
  <si>
    <t xml:space="preserve">29/05/24 14:39</t>
  </si>
  <si>
    <t xml:space="preserve">01/06/24 12:00</t>
  </si>
  <si>
    <t xml:space="preserve">HMDKWHSKAM_LDCB1F</t>
  </si>
  <si>
    <t xml:space="preserve">54</t>
  </si>
  <si>
    <t xml:space="preserve">SUGIYAMA KOICHI</t>
  </si>
  <si>
    <t xml:space="preserve">31/05/24 13:51</t>
  </si>
  <si>
    <t xml:space="preserve">01/06/24 12:07</t>
  </si>
  <si>
    <t xml:space="preserve">OTA</t>
  </si>
  <si>
    <t xml:space="preserve">61</t>
  </si>
  <si>
    <t xml:space="preserve">246444810_LDCB1F</t>
  </si>
  <si>
    <t xml:space="preserve">44</t>
  </si>
  <si>
    <t xml:space="preserve">Tran Quynh Quynh</t>
  </si>
  <si>
    <t xml:space="preserve">30/05/24 21:46</t>
  </si>
  <si>
    <t xml:space="preserve">01/06/24 13:26</t>
  </si>
  <si>
    <t xml:space="preserve">47</t>
  </si>
  <si>
    <t xml:space="preserve">Nguyễn Anh Dũng</t>
  </si>
  <si>
    <t xml:space="preserve">31/05/24 13:30</t>
  </si>
  <si>
    <t xml:space="preserve">02/06/24 08:06</t>
  </si>
  <si>
    <t xml:space="preserve">khách Hàn Quốc</t>
  </si>
  <si>
    <t xml:space="preserve">01/06/24 12:25</t>
  </si>
  <si>
    <t xml:space="preserve">65</t>
  </si>
  <si>
    <t xml:space="preserve">57</t>
  </si>
  <si>
    <t xml:space="preserve">Thu Hương</t>
  </si>
  <si>
    <t xml:space="preserve">31/05/24 13:21</t>
  </si>
  <si>
    <t xml:space="preserve">02/06/24 10:06</t>
  </si>
  <si>
    <t xml:space="preserve">64</t>
  </si>
  <si>
    <t xml:space="preserve">56</t>
  </si>
  <si>
    <t xml:space="preserve">02/06/24 10:07</t>
  </si>
  <si>
    <t xml:space="preserve">63</t>
  </si>
  <si>
    <t xml:space="preserve">246831736_LDCB1F</t>
  </si>
  <si>
    <t xml:space="preserve">Hiếu Minh</t>
  </si>
  <si>
    <t xml:space="preserve">01/06/24 14:56</t>
  </si>
  <si>
    <t xml:space="preserve">02/06/24 11:00</t>
  </si>
  <si>
    <t xml:space="preserve">66</t>
  </si>
  <si>
    <t xml:space="preserve">50</t>
  </si>
  <si>
    <t xml:space="preserve">Lê Nguyễn Phương Anh</t>
  </si>
  <si>
    <t xml:space="preserve">31/05/24 15:36</t>
  </si>
  <si>
    <t xml:space="preserve">55</t>
  </si>
  <si>
    <t xml:space="preserve"> Trần Minh Hoàng</t>
  </si>
  <si>
    <t xml:space="preserve">01/06/24 14:07</t>
  </si>
  <si>
    <t xml:space="preserve">02/06/24 11:01</t>
  </si>
  <si>
    <t xml:space="preserve">41</t>
  </si>
  <si>
    <t xml:space="preserve">12584485837</t>
  </si>
  <si>
    <t xml:space="preserve">Đường Huy</t>
  </si>
  <si>
    <t xml:space="preserve">01/06/24 16:48</t>
  </si>
  <si>
    <t xml:space="preserve">02/06/24 13:17</t>
  </si>
  <si>
    <t xml:space="preserve">49875093153</t>
  </si>
  <si>
    <t xml:space="preserve">Trần Nhung</t>
  </si>
  <si>
    <t xml:space="preserve">02/06/24 11:51</t>
  </si>
  <si>
    <t xml:space="preserve">02/06/24 14:56</t>
  </si>
  <si>
    <t xml:space="preserve">71</t>
  </si>
  <si>
    <t xml:space="preserve">Anh Nguyen</t>
  </si>
  <si>
    <t xml:space="preserve">02/06/24 17:58</t>
  </si>
  <si>
    <t xml:space="preserve">02/06/24 21:11</t>
  </si>
  <si>
    <t xml:space="preserve">73</t>
  </si>
  <si>
    <t xml:space="preserve">Tấn Phúc</t>
  </si>
  <si>
    <t xml:space="preserve">02/06/24 17:27</t>
  </si>
  <si>
    <t xml:space="preserve">03/06/24 11:00</t>
  </si>
  <si>
    <t xml:space="preserve">72</t>
  </si>
  <si>
    <t xml:space="preserve">Brauer Emely</t>
  </si>
  <si>
    <t xml:space="preserve">02/06/24 09:46</t>
  </si>
  <si>
    <t xml:space="preserve">70</t>
  </si>
  <si>
    <t xml:space="preserve">HMSFZPR3TH_LDCB1F</t>
  </si>
  <si>
    <t xml:space="preserve">Nguyên Hải</t>
  </si>
  <si>
    <t xml:space="preserve">03/06/24 13:08</t>
  </si>
  <si>
    <t xml:space="preserve">03/06/24 17:00</t>
  </si>
  <si>
    <t xml:space="preserve">77</t>
  </si>
  <si>
    <t xml:space="preserve">04/06/24 09:54</t>
  </si>
  <si>
    <t xml:space="preserve">05/06/24 11:00</t>
  </si>
  <si>
    <t xml:space="preserve">Nguyễn Thanh Hiền</t>
  </si>
  <si>
    <t xml:space="preserve">49</t>
  </si>
  <si>
    <t xml:space="preserve">75</t>
  </si>
  <si>
    <t xml:space="preserve">04/06/24 16:32</t>
  </si>
  <si>
    <t xml:space="preserve">83</t>
  </si>
  <si>
    <t xml:space="preserve">79</t>
  </si>
  <si>
    <t xml:space="preserve">Trần Đức Huy</t>
  </si>
  <si>
    <t xml:space="preserve">05/06/24 01:23</t>
  </si>
  <si>
    <t xml:space="preserve">05/06/24 14:33</t>
  </si>
  <si>
    <t xml:space="preserve">88</t>
  </si>
  <si>
    <t xml:space="preserve">Brian Lam</t>
  </si>
  <si>
    <t xml:space="preserve">04/06/24 20:01</t>
  </si>
  <si>
    <t xml:space="preserve">05/06/24 14:59</t>
  </si>
  <si>
    <t xml:space="preserve">86</t>
  </si>
  <si>
    <t xml:space="preserve">Nguyễn Thị Ngọc Trâm</t>
  </si>
  <si>
    <t xml:space="preserve">04/06/24 16:33</t>
  </si>
  <si>
    <t xml:space="preserve">06/06/24 09:28</t>
  </si>
  <si>
    <t xml:space="preserve">84</t>
  </si>
  <si>
    <t xml:space="preserve">Lê Thuỳ Dương</t>
  </si>
  <si>
    <t xml:space="preserve">06/06/24 00:37</t>
  </si>
  <si>
    <t xml:space="preserve">06/06/24 11:00</t>
  </si>
  <si>
    <t xml:space="preserve">93</t>
  </si>
  <si>
    <t xml:space="preserve">60</t>
  </si>
  <si>
    <t xml:space="preserve">NEGRI Julien</t>
  </si>
  <si>
    <t xml:space="preserve">02/06/24 11:26</t>
  </si>
  <si>
    <t xml:space="preserve">06/06/24 11:04</t>
  </si>
  <si>
    <t xml:space="preserve">67</t>
  </si>
  <si>
    <t xml:space="preserve">4770475850_LDCB1F</t>
  </si>
  <si>
    <t xml:space="preserve">89</t>
  </si>
  <si>
    <t xml:space="preserve">Qui</t>
  </si>
  <si>
    <t xml:space="preserve">06/06/24 21:56</t>
  </si>
  <si>
    <t xml:space="preserve">07/06/24 09:32</t>
  </si>
  <si>
    <t xml:space="preserve">99</t>
  </si>
  <si>
    <t xml:space="preserve">Minh Quân</t>
  </si>
  <si>
    <t xml:space="preserve">07/06/24 00:03</t>
  </si>
  <si>
    <t xml:space="preserve">07/06/24 09:33</t>
  </si>
  <si>
    <t xml:space="preserve">104</t>
  </si>
  <si>
    <t xml:space="preserve">69</t>
  </si>
  <si>
    <t xml:space="preserve">Ngọc Uyên</t>
  </si>
  <si>
    <t xml:space="preserve">06/06/24 17:43</t>
  </si>
  <si>
    <t xml:space="preserve">07/06/24 09:35</t>
  </si>
  <si>
    <t xml:space="preserve">76</t>
  </si>
  <si>
    <t xml:space="preserve">04/06/24 13:08</t>
  </si>
  <si>
    <t xml:space="preserve">07/06/24 11:00</t>
  </si>
  <si>
    <t xml:space="preserve">78</t>
  </si>
  <si>
    <t xml:space="preserve">Trieu Le</t>
  </si>
  <si>
    <t xml:space="preserve">Berge Tommy</t>
  </si>
  <si>
    <t xml:space="preserve">06/06/24 16:51</t>
  </si>
  <si>
    <t xml:space="preserve">96</t>
  </si>
  <si>
    <t xml:space="preserve">1291209829_LDCB1F</t>
  </si>
  <si>
    <t xml:space="preserve">92</t>
  </si>
  <si>
    <t xml:space="preserve">Trong Hieu</t>
  </si>
  <si>
    <t xml:space="preserve">06/06/24 23:38</t>
  </si>
  <si>
    <t xml:space="preserve">103</t>
  </si>
  <si>
    <t xml:space="preserve">82</t>
  </si>
  <si>
    <t xml:space="preserve">Trần Quỳnh Như</t>
  </si>
  <si>
    <t xml:space="preserve">06/06/24 16:34</t>
  </si>
  <si>
    <t xml:space="preserve">07/06/24 15:38</t>
  </si>
  <si>
    <t xml:space="preserve">05564381973</t>
  </si>
  <si>
    <t xml:space="preserve">91</t>
  </si>
  <si>
    <t xml:space="preserve">97</t>
  </si>
  <si>
    <t xml:space="preserve">07/06/24 15:42</t>
  </si>
  <si>
    <t xml:space="preserve">08/06/24 08:25</t>
  </si>
  <si>
    <t xml:space="preserve">109</t>
  </si>
  <si>
    <t xml:space="preserve">87</t>
  </si>
  <si>
    <t xml:space="preserve">Hà Thị Thu Hiền</t>
  </si>
  <si>
    <t xml:space="preserve">06/06/24 13:04</t>
  </si>
  <si>
    <t xml:space="preserve">08/06/24 08:26</t>
  </si>
  <si>
    <t xml:space="preserve">94</t>
  </si>
  <si>
    <t xml:space="preserve">07/06/24 14:31</t>
  </si>
  <si>
    <t xml:space="preserve">08/06/24 11:00</t>
  </si>
  <si>
    <t xml:space="preserve">105</t>
  </si>
  <si>
    <t xml:space="preserve">1258437480_LDCB1F</t>
  </si>
  <si>
    <t xml:space="preserve">80</t>
  </si>
  <si>
    <t xml:space="preserve">06/06/24 14:42</t>
  </si>
  <si>
    <t xml:space="preserve">08/06/24 13:02</t>
  </si>
  <si>
    <t xml:space="preserve">HMMSBWZHH5_LDCB1F</t>
  </si>
  <si>
    <t xml:space="preserve">203</t>
  </si>
  <si>
    <t xml:space="preserve">Nguyễn Lan Anh</t>
  </si>
  <si>
    <t xml:space="preserve">08/06/24 13:08</t>
  </si>
  <si>
    <t xml:space="preserve">08/06/24 15:07</t>
  </si>
  <si>
    <t xml:space="preserve">116</t>
  </si>
  <si>
    <t xml:space="preserve">Trần Văn Chính</t>
  </si>
  <si>
    <t xml:space="preserve">08/06/24 14:57</t>
  </si>
  <si>
    <t xml:space="preserve">08/06/24 17:00</t>
  </si>
  <si>
    <t xml:space="preserve">119</t>
  </si>
  <si>
    <t xml:space="preserve">Phan Vỹ</t>
  </si>
  <si>
    <t xml:space="preserve">08/06/24 11:45</t>
  </si>
  <si>
    <t xml:space="preserve">09/06/24 08:15</t>
  </si>
  <si>
    <t xml:space="preserve">115</t>
  </si>
  <si>
    <t xml:space="preserve">09/06/24 08:17</t>
  </si>
  <si>
    <t xml:space="preserve">113</t>
  </si>
  <si>
    <t xml:space="preserve">Lê Gia Khánh</t>
  </si>
  <si>
    <t xml:space="preserve">08/06/24 12:32</t>
  </si>
  <si>
    <t xml:space="preserve">09/06/24 08:43</t>
  </si>
  <si>
    <t xml:space="preserve">108</t>
  </si>
  <si>
    <t xml:space="preserve">Nguyễn Tấn Huy Anh</t>
  </si>
  <si>
    <t xml:space="preserve">08/06/24 12:33</t>
  </si>
  <si>
    <t xml:space="preserve">09/06/24 10:50</t>
  </si>
  <si>
    <t xml:space="preserve">117</t>
  </si>
  <si>
    <t xml:space="preserve">107</t>
  </si>
  <si>
    <t xml:space="preserve">Nguyễn Phùng Duy Anh</t>
  </si>
  <si>
    <t xml:space="preserve">09/06/24 11:42</t>
  </si>
  <si>
    <t xml:space="preserve">09/06/24 14:41</t>
  </si>
  <si>
    <t xml:space="preserve">123</t>
  </si>
  <si>
    <t xml:space="preserve">74</t>
  </si>
  <si>
    <t xml:space="preserve">_bnleh</t>
  </si>
  <si>
    <t xml:space="preserve">08/06/24 14:37</t>
  </si>
  <si>
    <t xml:space="preserve">09/06/24 14:57</t>
  </si>
  <si>
    <t xml:space="preserve">Thanh Thúy</t>
  </si>
  <si>
    <t xml:space="preserve">09/06/24 21:10</t>
  </si>
  <si>
    <t xml:space="preserve">09/06/24 21:11</t>
  </si>
  <si>
    <t xml:space="preserve">111</t>
  </si>
  <si>
    <t xml:space="preserve">Mai Văn Nguyên</t>
  </si>
  <si>
    <t xml:space="preserve">09/06/24 21:43</t>
  </si>
  <si>
    <t xml:space="preserve">10/06/24 08:17</t>
  </si>
  <si>
    <t xml:space="preserve">129</t>
  </si>
  <si>
    <t xml:space="preserve">100</t>
  </si>
  <si>
    <t xml:space="preserve">chị Trang founder</t>
  </si>
  <si>
    <t xml:space="preserve">07/06/24 22:32</t>
  </si>
  <si>
    <t xml:space="preserve">10/06/24 08:36</t>
  </si>
  <si>
    <t xml:space="preserve">114</t>
  </si>
  <si>
    <t xml:space="preserve">Mio</t>
  </si>
  <si>
    <t xml:space="preserve">09/06/24 14:21</t>
  </si>
  <si>
    <t xml:space="preserve">10/06/24 10:01</t>
  </si>
  <si>
    <t xml:space="preserve">85</t>
  </si>
  <si>
    <t xml:space="preserve">Hồ Văn Cường</t>
  </si>
  <si>
    <t xml:space="preserve">09/06/24 18:33</t>
  </si>
  <si>
    <t xml:space="preserve">10/06/24 11:00</t>
  </si>
  <si>
    <t xml:space="preserve">127</t>
  </si>
  <si>
    <t xml:space="preserve">한 홍수</t>
  </si>
  <si>
    <t xml:space="preserve">10/06/24 14:08</t>
  </si>
  <si>
    <t xml:space="preserve">11/06/24 08:28</t>
  </si>
  <si>
    <t xml:space="preserve">131</t>
  </si>
  <si>
    <t xml:space="preserve">HMW8NJJ3AR_LDCB1F</t>
  </si>
  <si>
    <t xml:space="preserve">90</t>
  </si>
  <si>
    <t xml:space="preserve">Thanh Mai Nguyen</t>
  </si>
  <si>
    <t xml:space="preserve">09/06/24 08:16</t>
  </si>
  <si>
    <t xml:space="preserve">Adamos Costas</t>
  </si>
  <si>
    <t xml:space="preserve">95</t>
  </si>
  <si>
    <t xml:space="preserve">Cao Tiến Hùng</t>
  </si>
  <si>
    <t xml:space="preserve">10/06/24 21:15</t>
  </si>
  <si>
    <t xml:space="preserve">11/06/24 08:29</t>
  </si>
  <si>
    <t xml:space="preserve">135</t>
  </si>
  <si>
    <t xml:space="preserve">Ngân Kim</t>
  </si>
  <si>
    <t xml:space="preserve">11/06/24 09:51</t>
  </si>
  <si>
    <t xml:space="preserve">Thanhh Hương</t>
  </si>
  <si>
    <t xml:space="preserve">11/06/24 15:49</t>
  </si>
  <si>
    <t xml:space="preserve">11/06/24 21:00</t>
  </si>
  <si>
    <t xml:space="preserve">133</t>
  </si>
  <si>
    <t xml:space="preserve">10/06/24 14:57</t>
  </si>
  <si>
    <t xml:space="preserve">12/06/24 11:00</t>
  </si>
  <si>
    <t xml:space="preserve">106</t>
  </si>
  <si>
    <t xml:space="preserve">Lý Huệ</t>
  </si>
  <si>
    <t xml:space="preserve">09/06/24 14:20</t>
  </si>
  <si>
    <t xml:space="preserve">124</t>
  </si>
  <si>
    <t xml:space="preserve">703</t>
  </si>
  <si>
    <t xml:space="preserve">125</t>
  </si>
  <si>
    <t xml:space="preserve">126</t>
  </si>
  <si>
    <t xml:space="preserve">11/06/24 14:03</t>
  </si>
  <si>
    <t xml:space="preserve">141</t>
  </si>
  <si>
    <t xml:space="preserve">142</t>
  </si>
  <si>
    <t xml:space="preserve">143</t>
  </si>
  <si>
    <t xml:space="preserve"> Aruto Mikawa</t>
  </si>
  <si>
    <t xml:space="preserve">12/06/24 12:29</t>
  </si>
  <si>
    <t xml:space="preserve">132</t>
  </si>
  <si>
    <t xml:space="preserve">00445269411</t>
  </si>
  <si>
    <t xml:space="preserve">130</t>
  </si>
  <si>
    <t xml:space="preserve">nguyễn bá vương</t>
  </si>
  <si>
    <t xml:space="preserve">12/06/24 15:43</t>
  </si>
  <si>
    <t xml:space="preserve">12/06/24 17:20</t>
  </si>
  <si>
    <t xml:space="preserve">151</t>
  </si>
  <si>
    <t xml:space="preserve">81</t>
  </si>
  <si>
    <t xml:space="preserve">Chau Benny</t>
  </si>
  <si>
    <t xml:space="preserve">12/06/24 12:30</t>
  </si>
  <si>
    <t xml:space="preserve">13/06/24 08:58</t>
  </si>
  <si>
    <t xml:space="preserve">HMDJ9C2EJB_LDCB1F</t>
  </si>
  <si>
    <t xml:space="preserve">Mikawa Aruto</t>
  </si>
  <si>
    <t xml:space="preserve">13/06/24 11:00</t>
  </si>
  <si>
    <t xml:space="preserve">146</t>
  </si>
  <si>
    <t xml:space="preserve">1263166416_LDCB1F</t>
  </si>
  <si>
    <t xml:space="preserve">Foster</t>
  </si>
  <si>
    <t xml:space="preserve">12/06/24 14:38</t>
  </si>
  <si>
    <t xml:space="preserve">150</t>
  </si>
  <si>
    <t xml:space="preserve">Nguyễn Mạnh Phước</t>
  </si>
  <si>
    <t xml:space="preserve">12/06/24 16:04</t>
  </si>
  <si>
    <t xml:space="preserve">13/06/24 11:53</t>
  </si>
  <si>
    <t xml:space="preserve">144</t>
  </si>
  <si>
    <t xml:space="preserve">Thái Văn Cường</t>
  </si>
  <si>
    <t xml:space="preserve">13/06/24 15:58</t>
  </si>
  <si>
    <t xml:space="preserve">13/06/24 17:58</t>
  </si>
  <si>
    <t xml:space="preserve">161</t>
  </si>
  <si>
    <t xml:space="preserve">Lâm Mỹ Nhi</t>
  </si>
  <si>
    <t xml:space="preserve">13/06/24 14:58</t>
  </si>
  <si>
    <t xml:space="preserve">14/06/24 08:41</t>
  </si>
  <si>
    <t xml:space="preserve">68</t>
  </si>
  <si>
    <t xml:space="preserve">122</t>
  </si>
  <si>
    <t xml:space="preserve">11/06/24 09:48</t>
  </si>
  <si>
    <t xml:space="preserve">14/06/24 08:42</t>
  </si>
  <si>
    <t xml:space="preserve">140</t>
  </si>
  <si>
    <t xml:space="preserve">136</t>
  </si>
  <si>
    <t xml:space="preserve">Đăng Linh</t>
  </si>
  <si>
    <t xml:space="preserve">13/06/24 15:53</t>
  </si>
  <si>
    <t xml:space="preserve">14/06/24 11:00</t>
  </si>
  <si>
    <t xml:space="preserve">162</t>
  </si>
  <si>
    <t xml:space="preserve">137</t>
  </si>
  <si>
    <t xml:space="preserve">Lê Ngọc Minh</t>
  </si>
  <si>
    <t xml:space="preserve">13/06/24 16:05</t>
  </si>
  <si>
    <t xml:space="preserve">163</t>
  </si>
  <si>
    <t xml:space="preserve">164</t>
  </si>
  <si>
    <t xml:space="preserve">13/06/24 11:42</t>
  </si>
  <si>
    <t xml:space="preserve">14/06/24 11:21</t>
  </si>
  <si>
    <t xml:space="preserve">156</t>
  </si>
  <si>
    <t xml:space="preserve">1264246916_LDCB1F</t>
  </si>
  <si>
    <t xml:space="preserve">Như Tiên</t>
  </si>
  <si>
    <t xml:space="preserve">12/06/24 14:52</t>
  </si>
  <si>
    <t xml:space="preserve">15/06/24 09:18</t>
  </si>
  <si>
    <t xml:space="preserve">147</t>
  </si>
  <si>
    <t xml:space="preserve">1263564836_LDCB1F</t>
  </si>
  <si>
    <t xml:space="preserve">134</t>
  </si>
  <si>
    <t xml:space="preserve">Đăng thi hồng</t>
  </si>
  <si>
    <t xml:space="preserve">13/06/24 17:03</t>
  </si>
  <si>
    <t xml:space="preserve">15/06/24 11:00</t>
  </si>
  <si>
    <t xml:space="preserve">157</t>
  </si>
  <si>
    <t xml:space="preserve">158</t>
  </si>
  <si>
    <t xml:space="preserve">159</t>
  </si>
  <si>
    <t xml:space="preserve">160</t>
  </si>
  <si>
    <t xml:space="preserve">120</t>
  </si>
  <si>
    <t xml:space="preserve">Tuấn Anh Nguyễn</t>
  </si>
  <si>
    <t xml:space="preserve">14/06/24 12:53</t>
  </si>
  <si>
    <t xml:space="preserve">16/06/24 10:21</t>
  </si>
  <si>
    <t xml:space="preserve">138</t>
  </si>
  <si>
    <t xml:space="preserve">1262382800_LDCB1F</t>
  </si>
  <si>
    <t xml:space="preserve">Huyền Phương</t>
  </si>
  <si>
    <t xml:space="preserve">15/06/24 15:01</t>
  </si>
  <si>
    <t xml:space="preserve">16/06/24 10:22</t>
  </si>
  <si>
    <t xml:space="preserve">167</t>
  </si>
  <si>
    <t xml:space="preserve">Lữ Ngân</t>
  </si>
  <si>
    <t xml:space="preserve">15/06/24 13:07</t>
  </si>
  <si>
    <t xml:space="preserve">16/06/24 10:23</t>
  </si>
  <si>
    <t xml:space="preserve">169</t>
  </si>
  <si>
    <t xml:space="preserve">1265938496_LDCB1F</t>
  </si>
  <si>
    <t xml:space="preserve">16/06/24 10:39</t>
  </si>
  <si>
    <t xml:space="preserve">170</t>
  </si>
  <si>
    <t xml:space="preserve">1266476020_LDCB1F</t>
  </si>
  <si>
    <t xml:space="preserve">Tan Chảy</t>
  </si>
  <si>
    <t xml:space="preserve">14/06/24 20:48</t>
  </si>
  <si>
    <t xml:space="preserve">16/06/24 11:00</t>
  </si>
  <si>
    <t xml:space="preserve">166</t>
  </si>
  <si>
    <t xml:space="preserve">Tran L Chau</t>
  </si>
  <si>
    <t xml:space="preserve">16/06/24 13:50</t>
  </si>
  <si>
    <t xml:space="preserve">17/06/24 09:09</t>
  </si>
  <si>
    <t xml:space="preserve">176</t>
  </si>
  <si>
    <t xml:space="preserve">Taylor Robert</t>
  </si>
  <si>
    <t xml:space="preserve">17/06/24 09:11</t>
  </si>
  <si>
    <t xml:space="preserve">HM8NAMHRJD_LDCB1F</t>
  </si>
  <si>
    <t xml:space="preserve">Đinh Thị Mỹ Thanh</t>
  </si>
  <si>
    <t xml:space="preserve">14/06/24 15:30</t>
  </si>
  <si>
    <t xml:space="preserve">168</t>
  </si>
  <si>
    <t xml:space="preserve">Bowker Stewart</t>
  </si>
  <si>
    <t xml:space="preserve">16/06/24 17:21</t>
  </si>
  <si>
    <t xml:space="preserve">17/06/24 10:04</t>
  </si>
  <si>
    <t xml:space="preserve">155</t>
  </si>
  <si>
    <t xml:space="preserve">1297363145_LDCB1F</t>
  </si>
  <si>
    <t xml:space="preserve">121</t>
  </si>
  <si>
    <t xml:space="preserve">14/06/24 12:52</t>
  </si>
  <si>
    <t xml:space="preserve">17/06/24 11:00</t>
  </si>
  <si>
    <t xml:space="preserve">139</t>
  </si>
  <si>
    <t xml:space="preserve">1262385872_LDCB1F</t>
  </si>
  <si>
    <t xml:space="preserve">15/06/24 23:25</t>
  </si>
  <si>
    <t xml:space="preserve">171</t>
  </si>
  <si>
    <t xml:space="preserve">145</t>
  </si>
  <si>
    <t xml:space="preserve">Đoàn Quang Huy</t>
  </si>
  <si>
    <t xml:space="preserve">15/06/24 14:53</t>
  </si>
  <si>
    <t xml:space="preserve">173</t>
  </si>
  <si>
    <t xml:space="preserve">Zalo Trúc</t>
  </si>
  <si>
    <t xml:space="preserve">17/06/24 11:10</t>
  </si>
  <si>
    <t xml:space="preserve">17/06/24 12:00</t>
  </si>
  <si>
    <t xml:space="preserve">179</t>
  </si>
  <si>
    <t xml:space="preserve">Trúc</t>
  </si>
  <si>
    <t xml:space="preserve">17/06/24 14:55</t>
  </si>
  <si>
    <t xml:space="preserve">172</t>
  </si>
  <si>
    <t xml:space="preserve">Trịnh Bảo Anh</t>
  </si>
  <si>
    <t xml:space="preserve">17/06/24 12:09</t>
  </si>
  <si>
    <t xml:space="preserve">18/06/24 08:58</t>
  </si>
  <si>
    <t xml:space="preserve">175</t>
  </si>
  <si>
    <t xml:space="preserve">174</t>
  </si>
  <si>
    <t xml:space="preserve">18/06/24 11:00</t>
  </si>
  <si>
    <t xml:space="preserve">165</t>
  </si>
  <si>
    <t xml:space="preserve">128</t>
  </si>
  <si>
    <t xml:space="preserve">Pham Kim Tien</t>
  </si>
  <si>
    <t xml:space="preserve">13/06/24 23:07</t>
  </si>
  <si>
    <t xml:space="preserve">18/06/24 16:00</t>
  </si>
  <si>
    <t xml:space="preserve">148</t>
  </si>
  <si>
    <t xml:space="preserve">Ong Sheng Yao</t>
  </si>
  <si>
    <t xml:space="preserve">149</t>
  </si>
  <si>
    <t xml:space="preserve">Lê Minh Quân</t>
  </si>
  <si>
    <t xml:space="preserve">18/06/24 07:44</t>
  </si>
  <si>
    <t xml:space="preserve">18/06/24 18:00</t>
  </si>
  <si>
    <t xml:space="preserve">184</t>
  </si>
  <si>
    <t xml:space="preserve">HOÀNG THU HÀNG</t>
  </si>
  <si>
    <t xml:space="preserve">18/06/24 18:19</t>
  </si>
  <si>
    <t xml:space="preserve">18/06/24 22:20</t>
  </si>
  <si>
    <t xml:space="preserve">185</t>
  </si>
  <si>
    <t xml:space="preserve">Trúc Nhân</t>
  </si>
  <si>
    <t xml:space="preserve">19/06/24 01:13</t>
  </si>
  <si>
    <t xml:space="preserve">19/06/24 11:00</t>
  </si>
  <si>
    <t xml:space="preserve">186</t>
  </si>
  <si>
    <t xml:space="preserve">152</t>
  </si>
  <si>
    <t xml:space="preserve">Mah See Cheong</t>
  </si>
  <si>
    <t xml:space="preserve">17/06/24 17:37</t>
  </si>
  <si>
    <t xml:space="preserve">19/06/24 11:03</t>
  </si>
  <si>
    <t xml:space="preserve">181</t>
  </si>
  <si>
    <t xml:space="preserve">1301317637_LDCB1F</t>
  </si>
  <si>
    <t xml:space="preserve">Nguyen Ba Hoi</t>
  </si>
  <si>
    <t xml:space="preserve">19/06/24 23:32</t>
  </si>
  <si>
    <t xml:space="preserve">20/06/24 10:09</t>
  </si>
  <si>
    <t xml:space="preserve">191</t>
  </si>
  <si>
    <t xml:space="preserve">Đặng Thị Trúc Ly</t>
  </si>
  <si>
    <t xml:space="preserve">17/06/24 11:33</t>
  </si>
  <si>
    <t xml:space="preserve">20/06/24 11:45</t>
  </si>
  <si>
    <t xml:space="preserve">99541446132</t>
  </si>
  <si>
    <t xml:space="preserve">Ban Vinh Tin</t>
  </si>
  <si>
    <t xml:space="preserve">Thanh Bình</t>
  </si>
  <si>
    <t xml:space="preserve">19/06/24 14:32</t>
  </si>
  <si>
    <t xml:space="preserve">21/06/24 08:14</t>
  </si>
  <si>
    <t xml:space="preserve">189</t>
  </si>
  <si>
    <t xml:space="preserve">Lingard Gregory James</t>
  </si>
  <si>
    <t xml:space="preserve">20/06/24 22:29</t>
  </si>
  <si>
    <t xml:space="preserve">21/06/24 10:34</t>
  </si>
  <si>
    <t xml:space="preserve">193</t>
  </si>
  <si>
    <t xml:space="preserve">1303984273_LDCB1F</t>
  </si>
  <si>
    <t xml:space="preserve">200</t>
  </si>
  <si>
    <t xml:space="preserve">Nguyễn Xuân Cường</t>
  </si>
  <si>
    <t xml:space="preserve">20/06/24 16:38</t>
  </si>
  <si>
    <t xml:space="preserve">21/06/24 11:00</t>
  </si>
  <si>
    <t xml:space="preserve">197</t>
  </si>
  <si>
    <t xml:space="preserve">Pham Huynh</t>
  </si>
  <si>
    <t xml:space="preserve">20/06/24 20:15</t>
  </si>
  <si>
    <t xml:space="preserve">21/06/24 11:27</t>
  </si>
  <si>
    <t xml:space="preserve">198</t>
  </si>
  <si>
    <t xml:space="preserve">4342916014_LDCB1F</t>
  </si>
  <si>
    <t xml:space="preserve">Bannister Lee</t>
  </si>
  <si>
    <t xml:space="preserve">19/06/24 22:56</t>
  </si>
  <si>
    <t xml:space="preserve">21/06/24 11:38</t>
  </si>
  <si>
    <t xml:space="preserve">190</t>
  </si>
  <si>
    <t xml:space="preserve">HM3WZ24D9R_LDCB1F</t>
  </si>
  <si>
    <t xml:space="preserve">154</t>
  </si>
  <si>
    <t xml:space="preserve">Ta Thanh</t>
  </si>
  <si>
    <t xml:space="preserve">19/06/24 14:09</t>
  </si>
  <si>
    <t xml:space="preserve">21/06/24 12:01</t>
  </si>
  <si>
    <t xml:space="preserve">183</t>
  </si>
  <si>
    <t xml:space="preserve">443379659_LDCB1F</t>
  </si>
  <si>
    <t xml:space="preserve">Banister Lee</t>
  </si>
  <si>
    <t xml:space="preserve">21/06/24 11:39</t>
  </si>
  <si>
    <t xml:space="preserve">22/06/24 08:13</t>
  </si>
  <si>
    <t xml:space="preserve">20/06/24 15:52</t>
  </si>
  <si>
    <t xml:space="preserve">22/06/24 09:07</t>
  </si>
  <si>
    <t xml:space="preserve">188</t>
  </si>
  <si>
    <t xml:space="preserve">HMCFBBT24W_LDCB1F</t>
  </si>
  <si>
    <t xml:space="preserve">19/06/24 14:10</t>
  </si>
  <si>
    <t xml:space="preserve">22/06/24 11:00</t>
  </si>
  <si>
    <t xml:space="preserve">187</t>
  </si>
  <si>
    <t xml:space="preserve">NGUYỄN THỊ THANH LOÀN</t>
  </si>
  <si>
    <t xml:space="preserve">21/06/24 19:35</t>
  </si>
  <si>
    <t xml:space="preserve">22/06/24 14:51</t>
  </si>
  <si>
    <t xml:space="preserve">207</t>
  </si>
  <si>
    <t xml:space="preserve">SHINTANI YUMI</t>
  </si>
  <si>
    <t xml:space="preserve">22/06/24 15:08</t>
  </si>
  <si>
    <t xml:space="preserve">23/06/24 10:26</t>
  </si>
  <si>
    <t xml:space="preserve">180</t>
  </si>
  <si>
    <t xml:space="preserve">1267851996_LDCB1F</t>
  </si>
  <si>
    <t xml:space="preserve">118</t>
  </si>
  <si>
    <t xml:space="preserve">Phú Tấn</t>
  </si>
  <si>
    <t xml:space="preserve">21/06/24 15:41</t>
  </si>
  <si>
    <t xml:space="preserve">23/06/24 11:00</t>
  </si>
  <si>
    <t xml:space="preserve">HOSSAIN MOHAMMAD SAMIM</t>
  </si>
  <si>
    <t xml:space="preserve">21/06/24 18:56</t>
  </si>
  <si>
    <t xml:space="preserve">206</t>
  </si>
  <si>
    <t xml:space="preserve">112</t>
  </si>
  <si>
    <t xml:space="preserve">P-C Olivier</t>
  </si>
  <si>
    <t xml:space="preserve">12/06/24 14:09</t>
  </si>
  <si>
    <t xml:space="preserve">23/06/24 11:09</t>
  </si>
  <si>
    <t xml:space="preserve">HM2XKTBMYM_LDCB1F</t>
  </si>
  <si>
    <t xml:space="preserve">Thu Hồng</t>
  </si>
  <si>
    <t xml:space="preserve">22/06/24 10:00</t>
  </si>
  <si>
    <t xml:space="preserve">24/06/24 09:02</t>
  </si>
  <si>
    <t xml:space="preserve">204</t>
  </si>
  <si>
    <t xml:space="preserve">182</t>
  </si>
  <si>
    <t xml:space="preserve">Lê Thị Xuân Nhi</t>
  </si>
  <si>
    <t xml:space="preserve">23/06/24 19:46</t>
  </si>
  <si>
    <t xml:space="preserve">213</t>
  </si>
  <si>
    <t xml:space="preserve">1306669665_LDCB1F</t>
  </si>
  <si>
    <t xml:space="preserve">Đặng Minh Hùng</t>
  </si>
  <si>
    <t xml:space="preserve">23/06/24 18:13</t>
  </si>
  <si>
    <t xml:space="preserve">216</t>
  </si>
  <si>
    <t xml:space="preserve">177</t>
  </si>
  <si>
    <t xml:space="preserve">NGUYỄN THỊ THU TRANG</t>
  </si>
  <si>
    <t xml:space="preserve">21/06/24 21:35</t>
  </si>
  <si>
    <t xml:space="preserve">24/06/24 10:46</t>
  </si>
  <si>
    <t xml:space="preserve">208</t>
  </si>
  <si>
    <t xml:space="preserve">Lưu Thúy Ngân</t>
  </si>
  <si>
    <t xml:space="preserve">23/06/24 23:08</t>
  </si>
  <si>
    <t xml:space="preserve">24/06/24 11:00</t>
  </si>
  <si>
    <t xml:space="preserve">91314187309</t>
  </si>
  <si>
    <t xml:space="preserve">Trần Quang Đại</t>
  </si>
  <si>
    <t xml:space="preserve">Trần Minh Điện</t>
  </si>
  <si>
    <t xml:space="preserve">25/06/24 01:57</t>
  </si>
  <si>
    <t xml:space="preserve">25/06/24 09:08</t>
  </si>
  <si>
    <t xml:space="preserve">221</t>
  </si>
  <si>
    <t xml:space="preserve">Khách Việt Kiều</t>
  </si>
  <si>
    <t xml:space="preserve">23/06/24 15:30</t>
  </si>
  <si>
    <t xml:space="preserve">25/06/24 11:00</t>
  </si>
  <si>
    <t xml:space="preserve">214</t>
  </si>
  <si>
    <t xml:space="preserve">215</t>
  </si>
  <si>
    <t xml:space="preserve">Khách đi chung 302</t>
  </si>
  <si>
    <t xml:space="preserve">25/06/24 07:09</t>
  </si>
  <si>
    <t xml:space="preserve">222</t>
  </si>
  <si>
    <t xml:space="preserve">195</t>
  </si>
  <si>
    <t xml:space="preserve">Antony</t>
  </si>
  <si>
    <t xml:space="preserve">25/06/24 21:31</t>
  </si>
  <si>
    <t xml:space="preserve">25/06/24 23:01</t>
  </si>
  <si>
    <t xml:space="preserve">230</t>
  </si>
  <si>
    <t xml:space="preserve">NGUYEN XUAN LOC</t>
  </si>
  <si>
    <t xml:space="preserve">24/06/24 12:53</t>
  </si>
  <si>
    <t xml:space="preserve">26/06/24 10:41</t>
  </si>
  <si>
    <t xml:space="preserve">110</t>
  </si>
  <si>
    <t xml:space="preserve">Jui Juan See</t>
  </si>
  <si>
    <t xml:space="preserve">22/06/24 16:16</t>
  </si>
  <si>
    <t xml:space="preserve">26/06/24 11:09</t>
  </si>
  <si>
    <t xml:space="preserve">1294485261_LDCB1F</t>
  </si>
  <si>
    <t xml:space="preserve">ĐỖ QUANG TIẾN</t>
  </si>
  <si>
    <t xml:space="preserve">24/06/24 13:57</t>
  </si>
  <si>
    <t xml:space="preserve">26/06/24 13:20</t>
  </si>
  <si>
    <t xml:space="preserve">212</t>
  </si>
  <si>
    <t xml:space="preserve">09228127783</t>
  </si>
  <si>
    <t xml:space="preserve">178</t>
  </si>
  <si>
    <t xml:space="preserve">Lê Phan Ngọc Ửng</t>
  </si>
  <si>
    <t xml:space="preserve">22/06/24 09:59</t>
  </si>
  <si>
    <t xml:space="preserve">27/06/24 09:06</t>
  </si>
  <si>
    <t xml:space="preserve">209</t>
  </si>
  <si>
    <t xml:space="preserve">192</t>
  </si>
  <si>
    <t xml:space="preserve">HOÀNG THỊ CẨM TÚ</t>
  </si>
  <si>
    <t xml:space="preserve">25/06/24 16:25</t>
  </si>
  <si>
    <t xml:space="preserve">27/06/24 09:07</t>
  </si>
  <si>
    <t xml:space="preserve">226</t>
  </si>
  <si>
    <t xml:space="preserve">TRẦN THỊ CẨM TÚ</t>
  </si>
  <si>
    <t xml:space="preserve">26/06/24 22:39</t>
  </si>
  <si>
    <t xml:space="preserve">27/06/24 10:54</t>
  </si>
  <si>
    <t xml:space="preserve">237</t>
  </si>
  <si>
    <t xml:space="preserve">Lim Teck Chye</t>
  </si>
  <si>
    <t xml:space="preserve">20/06/24 17:09</t>
  </si>
  <si>
    <t xml:space="preserve">27/06/24 11:00</t>
  </si>
  <si>
    <t xml:space="preserve">1300757825_LDCB1F</t>
  </si>
  <si>
    <t xml:space="preserve">BÙI THỊ KIM SINH</t>
  </si>
  <si>
    <t xml:space="preserve">27/06/24 14:15</t>
  </si>
  <si>
    <t xml:space="preserve">28/06/24 09:22</t>
  </si>
  <si>
    <t xml:space="preserve">236</t>
  </si>
  <si>
    <t xml:space="preserve">4900904542_LDCB1F</t>
  </si>
  <si>
    <t xml:space="preserve">196</t>
  </si>
  <si>
    <t xml:space="preserve">NguyỄN Trung Anh</t>
  </si>
  <si>
    <t xml:space="preserve">26/06/24 14:01</t>
  </si>
  <si>
    <t xml:space="preserve">28/06/24 10:00</t>
  </si>
  <si>
    <t xml:space="preserve">231</t>
  </si>
  <si>
    <t xml:space="preserve">HMCMYZREF4_LDCB1F</t>
  </si>
  <si>
    <t xml:space="preserve">Đào Xuân Minh</t>
  </si>
  <si>
    <t xml:space="preserve">28/06/24 10:41</t>
  </si>
  <si>
    <t xml:space="preserve">217</t>
  </si>
  <si>
    <t xml:space="preserve">194</t>
  </si>
  <si>
    <t xml:space="preserve">Tâm</t>
  </si>
  <si>
    <t xml:space="preserve">25/06/24 18:02</t>
  </si>
  <si>
    <t xml:space="preserve">28/06/24 10:53</t>
  </si>
  <si>
    <t xml:space="preserve">229</t>
  </si>
  <si>
    <t xml:space="preserve">Dương Thị Tuyết Trinh</t>
  </si>
  <si>
    <t xml:space="preserve">27/06/24 18:18</t>
  </si>
  <si>
    <t xml:space="preserve">28/06/24 10:55</t>
  </si>
  <si>
    <t xml:space="preserve">228</t>
  </si>
  <si>
    <t xml:space="preserve">Phùng Tuấn Tú</t>
  </si>
  <si>
    <t xml:space="preserve">227</t>
  </si>
  <si>
    <t xml:space="preserve">TRƯƠNG THỊ NGỌC LAN</t>
  </si>
  <si>
    <t xml:space="preserve">27/06/24 14:22</t>
  </si>
  <si>
    <t xml:space="preserve">28/06/24 11:00</t>
  </si>
  <si>
    <t xml:space="preserve">233</t>
  </si>
  <si>
    <t xml:space="preserve">28/06/24 13:41</t>
  </si>
  <si>
    <t xml:space="preserve">29/06/24 08:58</t>
  </si>
  <si>
    <t xml:space="preserve">245</t>
  </si>
  <si>
    <t xml:space="preserve">28/06/24 19:17</t>
  </si>
  <si>
    <t xml:space="preserve">29/06/24 08:59</t>
  </si>
  <si>
    <t xml:space="preserve">246</t>
  </si>
  <si>
    <t xml:space="preserve">KAWASAKI DAISUKE</t>
  </si>
  <si>
    <t xml:space="preserve">29/06/24 11:00</t>
  </si>
  <si>
    <t xml:space="preserve">239</t>
  </si>
  <si>
    <t xml:space="preserve">1278993916_LDCB1F</t>
  </si>
  <si>
    <t xml:space="preserve">210</t>
  </si>
  <si>
    <t xml:space="preserve">28/06/24 20:52</t>
  </si>
  <si>
    <t xml:space="preserve">247</t>
  </si>
  <si>
    <t xml:space="preserve">205</t>
  </si>
  <si>
    <t xml:space="preserve">Nguyễn Việt Hùng</t>
  </si>
  <si>
    <t xml:space="preserve">27/06/24 18:38</t>
  </si>
  <si>
    <t xml:space="preserve">30/06/24 09:49</t>
  </si>
  <si>
    <t xml:space="preserve">240</t>
  </si>
  <si>
    <t xml:space="preserve">ĐINH XUÂN THÀNH</t>
  </si>
  <si>
    <t xml:space="preserve">29/06/24 15:00</t>
  </si>
  <si>
    <t xml:space="preserve">253</t>
  </si>
  <si>
    <t xml:space="preserve">VŨ THANH DUNG</t>
  </si>
  <si>
    <t xml:space="preserve">29/06/24 14:20</t>
  </si>
  <si>
    <t xml:space="preserve">30/06/24 10:42</t>
  </si>
  <si>
    <t xml:space="preserve">249</t>
  </si>
  <si>
    <t xml:space="preserve">Trương Minh Nhựt</t>
  </si>
  <si>
    <t xml:space="preserve">29/06/24 05:22</t>
  </si>
  <si>
    <t xml:space="preserve">30/06/24 11:00</t>
  </si>
  <si>
    <t xml:space="preserve">238</t>
  </si>
  <si>
    <t xml:space="preserve">1278936880_LDCB1F</t>
  </si>
  <si>
    <t xml:space="preserve">153</t>
  </si>
  <si>
    <t xml:space="preserve">davies Isaac</t>
  </si>
  <si>
    <t xml:space="preserve">28/06/24 20:46</t>
  </si>
  <si>
    <t xml:space="preserve">243</t>
  </si>
  <si>
    <t xml:space="preserve">4331323223_LDCB1F</t>
  </si>
  <si>
    <t xml:space="preserve">211</t>
  </si>
  <si>
    <t xml:space="preserve">CAO THỊ MINH PHƯƠNG</t>
  </si>
  <si>
    <t xml:space="preserve">29/06/24 13:33</t>
  </si>
  <si>
    <t xml:space="preserve">248</t>
  </si>
  <si>
    <t xml:space="preserve">220</t>
  </si>
  <si>
    <t xml:space="preserve">Xuyên</t>
  </si>
  <si>
    <t xml:space="preserve">30/06/24 15:07</t>
  </si>
  <si>
    <t xml:space="preserve">01/07/24 08:31</t>
  </si>
  <si>
    <t xml:space="preserve">263</t>
  </si>
  <si>
    <t xml:space="preserve">ELLIS KRISHIA PAULINE</t>
  </si>
  <si>
    <t xml:space="preserve">29/06/24 15:18</t>
  </si>
  <si>
    <t xml:space="preserve">01/07/24 08:33</t>
  </si>
  <si>
    <t xml:space="preserve">HMJEEE92HS_LDCB1F</t>
  </si>
  <si>
    <t xml:space="preserve">Thu Hang Le</t>
  </si>
  <si>
    <t xml:space="preserve">30/06/24 13:45</t>
  </si>
  <si>
    <t xml:space="preserve">01/07/24 09:31</t>
  </si>
  <si>
    <t xml:space="preserve">199</t>
  </si>
  <si>
    <t xml:space="preserve">218</t>
  </si>
  <si>
    <t xml:space="preserve">Son Jongjeong</t>
  </si>
  <si>
    <t xml:space="preserve">29/06/24 20:46</t>
  </si>
  <si>
    <t xml:space="preserve">01/07/24 11:00</t>
  </si>
  <si>
    <t xml:space="preserve">256</t>
  </si>
  <si>
    <t xml:space="preserve">30/06/24 19:55</t>
  </si>
  <si>
    <t xml:space="preserve">264</t>
  </si>
  <si>
    <t xml:space="preserve">Gurmukh Arora</t>
  </si>
  <si>
    <t xml:space="preserve">30/06/24 14:23</t>
  </si>
  <si>
    <t xml:space="preserve">02/07/24 10:51</t>
  </si>
  <si>
    <t xml:space="preserve">250</t>
  </si>
  <si>
    <t xml:space="preserve">251</t>
  </si>
  <si>
    <t xml:space="preserve">225</t>
  </si>
  <si>
    <t xml:space="preserve">01/07/24 21:00</t>
  </si>
  <si>
    <t xml:space="preserve">02/07/24 11:00</t>
  </si>
  <si>
    <t xml:space="preserve">275</t>
  </si>
  <si>
    <t xml:space="preserve">Salman alrusayni</t>
  </si>
  <si>
    <t xml:space="preserve">29/06/24 21:08</t>
  </si>
  <si>
    <t xml:space="preserve">02/07/24 11:26</t>
  </si>
  <si>
    <t xml:space="preserve">252</t>
  </si>
  <si>
    <t xml:space="preserve">44659463087</t>
  </si>
  <si>
    <t xml:space="preserve">01/07/24 15:01</t>
  </si>
  <si>
    <t xml:space="preserve">03/07/24 08:50</t>
  </si>
  <si>
    <t xml:space="preserve">01/07/24 14:42</t>
  </si>
  <si>
    <t xml:space="preserve">03/07/24 10:29</t>
  </si>
  <si>
    <t xml:space="preserve">Yk Ho</t>
  </si>
  <si>
    <t xml:space="preserve">Lua Mui Joo</t>
  </si>
  <si>
    <t xml:space="preserve">29/06/24 19:19</t>
  </si>
  <si>
    <t xml:space="preserve">03/07/24 10:44</t>
  </si>
  <si>
    <t xml:space="preserve">1296342421_LDCB1F</t>
  </si>
  <si>
    <t xml:space="preserve">02/07/24 21:15</t>
  </si>
  <si>
    <t xml:space="preserve">03/07/24 10:56</t>
  </si>
  <si>
    <t xml:space="preserve">280</t>
  </si>
  <si>
    <t xml:space="preserve">Chướng A Kiú</t>
  </si>
  <si>
    <t xml:space="preserve">26/06/24 15:54</t>
  </si>
  <si>
    <t xml:space="preserve">03/07/24 11:00</t>
  </si>
  <si>
    <t xml:space="preserve">234</t>
  </si>
  <si>
    <t xml:space="preserve">02/07/24 14:40</t>
  </si>
  <si>
    <t xml:space="preserve">03/07/24 11:06</t>
  </si>
  <si>
    <t xml:space="preserve">254</t>
  </si>
  <si>
    <t xml:space="preserve">HMT5MF48Z5_LDCB1F</t>
  </si>
  <si>
    <t xml:space="preserve">mb</t>
  </si>
  <si>
    <t xml:space="preserve">01/06/24 22:57</t>
  </si>
  <si>
    <t xml:space="preserve">03/07/24 11:16</t>
  </si>
  <si>
    <t xml:space="preserve">Trần Phước Hồng</t>
  </si>
  <si>
    <t xml:space="preserve">03/07/24 23:36</t>
  </si>
  <si>
    <t xml:space="preserve">04/07/24 08:42</t>
  </si>
  <si>
    <t xml:space="preserve">279</t>
  </si>
  <si>
    <t xml:space="preserve">04/07/24 11:00</t>
  </si>
  <si>
    <t xml:space="preserve">Nhi</t>
  </si>
  <si>
    <t xml:space="preserve">04/07/24 20:34</t>
  </si>
  <si>
    <t xml:space="preserve">05/07/24 08:25</t>
  </si>
  <si>
    <t xml:space="preserve">266</t>
  </si>
  <si>
    <t xml:space="preserve">Nguyễn Dự Huy</t>
  </si>
  <si>
    <t xml:space="preserve">04/07/24 22:55</t>
  </si>
  <si>
    <t xml:space="preserve">285</t>
  </si>
  <si>
    <t xml:space="preserve">223</t>
  </si>
  <si>
    <t xml:space="preserve">Lâm Thị Tý</t>
  </si>
  <si>
    <t xml:space="preserve">02/07/24 03:22</t>
  </si>
  <si>
    <t xml:space="preserve">05/07/24 11:00</t>
  </si>
  <si>
    <t xml:space="preserve">267</t>
  </si>
  <si>
    <t xml:space="preserve">Phạm Minh Tuấn</t>
  </si>
  <si>
    <t xml:space="preserve">04/07/24 03:00</t>
  </si>
  <si>
    <t xml:space="preserve">289</t>
  </si>
  <si>
    <t xml:space="preserve">Scott Adam</t>
  </si>
  <si>
    <t xml:space="preserve">22/06/24 22:57</t>
  </si>
  <si>
    <t xml:space="preserve">05/07/24 11:27</t>
  </si>
  <si>
    <t xml:space="preserve">444225695_LDCB1F</t>
  </si>
  <si>
    <t xml:space="preserve">đường</t>
  </si>
  <si>
    <t xml:space="preserve">05/07/24 12:33</t>
  </si>
  <si>
    <t xml:space="preserve">05/07/24 16:14</t>
  </si>
  <si>
    <t xml:space="preserve">296</t>
  </si>
  <si>
    <t xml:space="preserve">03/07/24 15:26</t>
  </si>
  <si>
    <t xml:space="preserve">06/07/24 08:30</t>
  </si>
  <si>
    <t xml:space="preserve">242</t>
  </si>
  <si>
    <t xml:space="preserve">Phạm Thị Bích Hà</t>
  </si>
  <si>
    <t xml:space="preserve">241</t>
  </si>
  <si>
    <t xml:space="preserve">Nguyễn Thị Kim Yến</t>
  </si>
  <si>
    <t xml:space="preserve">05/07/24 23:26</t>
  </si>
  <si>
    <t xml:space="preserve">06/07/24 09:43</t>
  </si>
  <si>
    <t xml:space="preserve">300</t>
  </si>
  <si>
    <t xml:space="preserve"> NGUYEN THI HONG LIEU</t>
  </si>
  <si>
    <t xml:space="preserve">04/07/24 15:44</t>
  </si>
  <si>
    <t xml:space="preserve">06/07/24 09:54</t>
  </si>
  <si>
    <t xml:space="preserve">281</t>
  </si>
  <si>
    <t xml:space="preserve">35144080773</t>
  </si>
  <si>
    <t xml:space="preserve"> Hiền</t>
  </si>
  <si>
    <t xml:space="preserve">05/07/24 16:32</t>
  </si>
  <si>
    <t xml:space="preserve">06/07/24 09:55</t>
  </si>
  <si>
    <t xml:space="preserve">287</t>
  </si>
  <si>
    <t xml:space="preserve">13300773659</t>
  </si>
  <si>
    <t xml:space="preserve">Hồ Thanh Cường</t>
  </si>
  <si>
    <t xml:space="preserve">05/07/24 23:22</t>
  </si>
  <si>
    <t xml:space="preserve">06/07/24 10:39</t>
  </si>
  <si>
    <t xml:space="preserve">277</t>
  </si>
  <si>
    <t xml:space="preserve">702</t>
  </si>
  <si>
    <t xml:space="preserve"> Hoàng Nhật Quân</t>
  </si>
  <si>
    <t xml:space="preserve">06/07/24 02:07</t>
  </si>
  <si>
    <t xml:space="preserve">06/07/24 12:03</t>
  </si>
  <si>
    <t xml:space="preserve">299</t>
  </si>
  <si>
    <t xml:space="preserve">89283296138</t>
  </si>
  <si>
    <t xml:space="preserve">06/07/24 15:36</t>
  </si>
  <si>
    <t xml:space="preserve">06/07/24 15:39</t>
  </si>
  <si>
    <t xml:space="preserve">Nguyễn Trạm</t>
  </si>
  <si>
    <t xml:space="preserve">06/07/24 12:24</t>
  </si>
  <si>
    <t xml:space="preserve">07/07/24 09:10</t>
  </si>
  <si>
    <t xml:space="preserve">Triệu Duy</t>
  </si>
  <si>
    <t xml:space="preserve">06/07/24 13:53</t>
  </si>
  <si>
    <t xml:space="preserve">07/07/24 09:57</t>
  </si>
  <si>
    <t xml:space="preserve">291</t>
  </si>
  <si>
    <t xml:space="preserve">244</t>
  </si>
  <si>
    <t xml:space="preserve">Sinaga Liyana Yasmin</t>
  </si>
  <si>
    <t xml:space="preserve">07/07/24 10:02</t>
  </si>
  <si>
    <t xml:space="preserve">295</t>
  </si>
  <si>
    <t xml:space="preserve">1317351789_LDCB1F</t>
  </si>
  <si>
    <t xml:space="preserve">Hoang Hien</t>
  </si>
  <si>
    <t xml:space="preserve">06/07/24 12:47</t>
  </si>
  <si>
    <t xml:space="preserve">07/07/24 10:32</t>
  </si>
  <si>
    <t xml:space="preserve">Quỳnh Mai</t>
  </si>
  <si>
    <t xml:space="preserve">07/07/24 10:56</t>
  </si>
  <si>
    <t xml:space="preserve">297</t>
  </si>
  <si>
    <t xml:space="preserve">255</t>
  </si>
  <si>
    <t xml:space="preserve">Phạm Nguyên Khánh Trình</t>
  </si>
  <si>
    <t xml:space="preserve">07/07/24 02:07</t>
  </si>
  <si>
    <t xml:space="preserve">07/07/24 11:00</t>
  </si>
  <si>
    <t xml:space="preserve">306</t>
  </si>
  <si>
    <t xml:space="preserve">4813482297_LDCB1F</t>
  </si>
  <si>
    <t xml:space="preserve">Trọng Đỗ</t>
  </si>
  <si>
    <t xml:space="preserve">05/07/24 13:39</t>
  </si>
  <si>
    <t xml:space="preserve">07/07/24 12:01</t>
  </si>
  <si>
    <t xml:space="preserve">292</t>
  </si>
  <si>
    <t xml:space="preserve">ĐỖ THÚY OANH</t>
  </si>
  <si>
    <t xml:space="preserve">25/06/24 15:08</t>
  </si>
  <si>
    <t xml:space="preserve">07/07/24 14:00</t>
  </si>
  <si>
    <t xml:space="preserve">219</t>
  </si>
  <si>
    <t xml:space="preserve">Được</t>
  </si>
  <si>
    <t xml:space="preserve">07/07/24 12:44</t>
  </si>
  <si>
    <t xml:space="preserve">07/07/24 16:44</t>
  </si>
  <si>
    <t xml:space="preserve">307</t>
  </si>
  <si>
    <t xml:space="preserve">04/07/24 10:07</t>
  </si>
  <si>
    <t xml:space="preserve">08/07/24 00:10</t>
  </si>
  <si>
    <t xml:space="preserve">290</t>
  </si>
  <si>
    <t xml:space="preserve">Trần Quốc Hưng</t>
  </si>
  <si>
    <t xml:space="preserve">05/07/24 22:18</t>
  </si>
  <si>
    <t xml:space="preserve">08/07/24 08:26</t>
  </si>
  <si>
    <t xml:space="preserve">288</t>
  </si>
  <si>
    <t xml:space="preserve">30/06/24 12:31</t>
  </si>
  <si>
    <t xml:space="preserve">08/07/24 08:34</t>
  </si>
  <si>
    <t xml:space="preserve">Trần Lê Nhất Linh</t>
  </si>
  <si>
    <t xml:space="preserve">07/07/24 15:15</t>
  </si>
  <si>
    <t xml:space="preserve">08/07/24 11:15</t>
  </si>
  <si>
    <t xml:space="preserve">304</t>
  </si>
  <si>
    <t xml:space="preserve">71058119969</t>
  </si>
  <si>
    <t xml:space="preserve">Fu Yu Tan</t>
  </si>
  <si>
    <t xml:space="preserve">05/07/24 16:16</t>
  </si>
  <si>
    <t xml:space="preserve">08/07/24 11:25</t>
  </si>
  <si>
    <t xml:space="preserve">298</t>
  </si>
  <si>
    <t xml:space="preserve">1288367792_LDCB1F</t>
  </si>
  <si>
    <t xml:space="preserve">260</t>
  </si>
  <si>
    <t xml:space="preserve">08/07/24 12:45</t>
  </si>
  <si>
    <t xml:space="preserve">08/07/24 14:00</t>
  </si>
  <si>
    <t xml:space="preserve">312</t>
  </si>
  <si>
    <t xml:space="preserve">Nguyen Anh Hung</t>
  </si>
  <si>
    <t xml:space="preserve">07/07/24 14:09</t>
  </si>
  <si>
    <t xml:space="preserve">09/07/24 08:34</t>
  </si>
  <si>
    <t xml:space="preserve">305</t>
  </si>
  <si>
    <t xml:space="preserve">THE HUỲNH THANH LIÊM</t>
  </si>
  <si>
    <t xml:space="preserve">08/07/24 16:45</t>
  </si>
  <si>
    <t xml:space="preserve">316</t>
  </si>
  <si>
    <t xml:space="preserve">09/07/24 15:42</t>
  </si>
  <si>
    <t xml:space="preserve">09/07/24 15:55</t>
  </si>
  <si>
    <t xml:space="preserve">325</t>
  </si>
  <si>
    <t xml:space="preserve">262</t>
  </si>
  <si>
    <t xml:space="preserve">PHẠM THỊ ÁNH QUÝ</t>
  </si>
  <si>
    <t xml:space="preserve">08/07/24 16:27</t>
  </si>
  <si>
    <t xml:space="preserve">10/07/24 08:14</t>
  </si>
  <si>
    <t xml:space="preserve">315</t>
  </si>
  <si>
    <t xml:space="preserve">259</t>
  </si>
  <si>
    <t xml:space="preserve">08/07/24 15:12</t>
  </si>
  <si>
    <t xml:space="preserve">10/07/24 11:00</t>
  </si>
  <si>
    <t xml:space="preserve">310</t>
  </si>
  <si>
    <t xml:space="preserve">Phương Dung</t>
  </si>
  <si>
    <t xml:space="preserve">311</t>
  </si>
  <si>
    <t xml:space="preserve">271</t>
  </si>
  <si>
    <t xml:space="preserve">Đặng Thanh Tâm</t>
  </si>
  <si>
    <t xml:space="preserve">09/07/24 22:46</t>
  </si>
  <si>
    <t xml:space="preserve">333</t>
  </si>
  <si>
    <t xml:space="preserve">272</t>
  </si>
  <si>
    <t xml:space="preserve">trương phương uyên</t>
  </si>
  <si>
    <t xml:space="preserve">10/07/24 08:33</t>
  </si>
  <si>
    <t xml:space="preserve">10/07/24 12:35</t>
  </si>
  <si>
    <t xml:space="preserve">334</t>
  </si>
  <si>
    <t xml:space="preserve">258</t>
  </si>
  <si>
    <t xml:space="preserve">10/07/24 12:53</t>
  </si>
  <si>
    <t xml:space="preserve">309</t>
  </si>
  <si>
    <t xml:space="preserve">1291127812_LDCB1F</t>
  </si>
  <si>
    <t xml:space="preserve">235</t>
  </si>
  <si>
    <t xml:space="preserve">Dương Tấn Phát</t>
  </si>
  <si>
    <t xml:space="preserve">07/07/24 14:50</t>
  </si>
  <si>
    <t xml:space="preserve">11/07/24 08:17</t>
  </si>
  <si>
    <t xml:space="preserve">286</t>
  </si>
  <si>
    <t xml:space="preserve">265</t>
  </si>
  <si>
    <t xml:space="preserve">Đoàn Hồng Anh</t>
  </si>
  <si>
    <t xml:space="preserve">10/07/24 20:17</t>
  </si>
  <si>
    <t xml:space="preserve">11/07/24 08:24</t>
  </si>
  <si>
    <t xml:space="preserve">318</t>
  </si>
  <si>
    <t xml:space="preserve">1292245944_LDCB1F</t>
  </si>
  <si>
    <t xml:space="preserve">261</t>
  </si>
  <si>
    <t xml:space="preserve">Anh Thủy</t>
  </si>
  <si>
    <t xml:space="preserve">11/07/24 08:59</t>
  </si>
  <si>
    <t xml:space="preserve">313</t>
  </si>
  <si>
    <t xml:space="preserve">314</t>
  </si>
  <si>
    <t xml:space="preserve">Phấn Tiny</t>
  </si>
  <si>
    <t xml:space="preserve">10/07/24 16:22</t>
  </si>
  <si>
    <t xml:space="preserve">11/07/24 10:52</t>
  </si>
  <si>
    <t xml:space="preserve">337</t>
  </si>
  <si>
    <t xml:space="preserve">273</t>
  </si>
  <si>
    <t xml:space="preserve">Liang Jiangjin</t>
  </si>
  <si>
    <t xml:space="preserve">10/07/24 13:48</t>
  </si>
  <si>
    <t xml:space="preserve">11/07/24 11:00</t>
  </si>
  <si>
    <t xml:space="preserve">335</t>
  </si>
  <si>
    <t xml:space="preserve">Bùi Thị Ngọc</t>
  </si>
  <si>
    <t xml:space="preserve">11/07/24 13:14</t>
  </si>
  <si>
    <t xml:space="preserve">11/07/24 14:41</t>
  </si>
  <si>
    <t xml:space="preserve">349</t>
  </si>
  <si>
    <t xml:space="preserve">282</t>
  </si>
  <si>
    <t xml:space="preserve">Lê Xuân Hướng</t>
  </si>
  <si>
    <t xml:space="preserve">11/07/24 18:23</t>
  </si>
  <si>
    <t xml:space="preserve">12/07/24 08:23</t>
  </si>
  <si>
    <t xml:space="preserve">351</t>
  </si>
  <si>
    <t xml:space="preserve">Trần Đinh Quý</t>
  </si>
  <si>
    <t xml:space="preserve">11/07/24 17:14</t>
  </si>
  <si>
    <t xml:space="preserve">350</t>
  </si>
  <si>
    <t xml:space="preserve">Elly Phạm</t>
  </si>
  <si>
    <t xml:space="preserve">11/07/24 12:41</t>
  </si>
  <si>
    <t xml:space="preserve">12/07/24 08:24</t>
  </si>
  <si>
    <t xml:space="preserve">348</t>
  </si>
  <si>
    <t xml:space="preserve">270</t>
  </si>
  <si>
    <t xml:space="preserve">Công Tiến Bùi</t>
  </si>
  <si>
    <t xml:space="preserve">11/07/24 17:48</t>
  </si>
  <si>
    <t xml:space="preserve">12/07/24 09:33</t>
  </si>
  <si>
    <t xml:space="preserve">329</t>
  </si>
  <si>
    <t xml:space="preserve">4930489521_LDCB1F</t>
  </si>
  <si>
    <t xml:space="preserve">331</t>
  </si>
  <si>
    <t xml:space="preserve">330</t>
  </si>
  <si>
    <t xml:space="preserve">332</t>
  </si>
  <si>
    <t xml:space="preserve">12/07/24 09:55</t>
  </si>
  <si>
    <t xml:space="preserve">347</t>
  </si>
  <si>
    <t xml:space="preserve">274</t>
  </si>
  <si>
    <t xml:space="preserve">Lê Thị Hồng Đào</t>
  </si>
  <si>
    <t xml:space="preserve">10/07/24 15:30</t>
  </si>
  <si>
    <t xml:space="preserve">12/07/24 10:26</t>
  </si>
  <si>
    <t xml:space="preserve">336</t>
  </si>
  <si>
    <t xml:space="preserve">284</t>
  </si>
  <si>
    <t xml:space="preserve">Nguyễn Chi Lăng</t>
  </si>
  <si>
    <t xml:space="preserve">12/07/24 01:57</t>
  </si>
  <si>
    <t xml:space="preserve">12/07/24 10:36</t>
  </si>
  <si>
    <t xml:space="preserve">353</t>
  </si>
  <si>
    <t xml:space="preserve">05/07/24 14:21</t>
  </si>
  <si>
    <t xml:space="preserve">12/07/24 11:24</t>
  </si>
  <si>
    <t xml:space="preserve">445742311_LDCB1F</t>
  </si>
  <si>
    <t xml:space="preserve">12/07/24 14:25</t>
  </si>
  <si>
    <t xml:space="preserve">12/07/24 18:22</t>
  </si>
  <si>
    <t xml:space="preserve">354</t>
  </si>
  <si>
    <t xml:space="preserve">Đỗ Văn Ca</t>
  </si>
  <si>
    <t xml:space="preserve">12/07/24 18:23</t>
  </si>
  <si>
    <t xml:space="preserve">328</t>
  </si>
  <si>
    <t xml:space="preserve">A Thông</t>
  </si>
  <si>
    <t xml:space="preserve">26/06/24 12:02</t>
  </si>
  <si>
    <t xml:space="preserve">13/07/24 11:00</t>
  </si>
  <si>
    <t xml:space="preserve">232</t>
  </si>
  <si>
    <t xml:space="preserve">268</t>
  </si>
  <si>
    <t xml:space="preserve">09/07/24 20:45</t>
  </si>
  <si>
    <t xml:space="preserve">326</t>
  </si>
  <si>
    <t xml:space="preserve">Nguyen Jimmy Cao</t>
  </si>
  <si>
    <t xml:space="preserve">11/07/24 12:44</t>
  </si>
  <si>
    <t xml:space="preserve">344</t>
  </si>
  <si>
    <t xml:space="preserve">nguyễn văn lập</t>
  </si>
  <si>
    <t xml:space="preserve">13/07/24 13:00</t>
  </si>
  <si>
    <t xml:space="preserve">13/07/24 15:00</t>
  </si>
  <si>
    <t xml:space="preserve">371</t>
  </si>
  <si>
    <t xml:space="preserve">Triệu Thị Phương Nhung</t>
  </si>
  <si>
    <t xml:space="preserve">12/07/24 16:18</t>
  </si>
  <si>
    <t xml:space="preserve">13/07/24 16:59</t>
  </si>
  <si>
    <t xml:space="preserve">224</t>
  </si>
  <si>
    <t xml:space="preserve">294</t>
  </si>
  <si>
    <t xml:space="preserve">Tn</t>
  </si>
  <si>
    <t xml:space="preserve">13/07/24 09:25</t>
  </si>
  <si>
    <t xml:space="preserve">13/07/24 17:46</t>
  </si>
  <si>
    <t xml:space="preserve">367</t>
  </si>
  <si>
    <t xml:space="preserve">Thanh Hương</t>
  </si>
  <si>
    <t xml:space="preserve">13/07/24 18:06</t>
  </si>
  <si>
    <t xml:space="preserve">14/07/24 09:18</t>
  </si>
  <si>
    <t xml:space="preserve">369</t>
  </si>
  <si>
    <t xml:space="preserve">Trình hoàng hà</t>
  </si>
  <si>
    <t xml:space="preserve">13/07/24 19:17</t>
  </si>
  <si>
    <t xml:space="preserve">14/07/24 09:28</t>
  </si>
  <si>
    <t xml:space="preserve">355</t>
  </si>
  <si>
    <t xml:space="preserve">257</t>
  </si>
  <si>
    <t xml:space="preserve">Tc Sagittarius</t>
  </si>
  <si>
    <t xml:space="preserve">11/07/24 12:01</t>
  </si>
  <si>
    <t xml:space="preserve">14/07/24 10:01</t>
  </si>
  <si>
    <t xml:space="preserve">308</t>
  </si>
  <si>
    <t xml:space="preserve">1319631457_LDCB1F</t>
  </si>
  <si>
    <t xml:space="preserve">Li Sheng Liang</t>
  </si>
  <si>
    <t xml:space="preserve">13/07/24 19:15</t>
  </si>
  <si>
    <t xml:space="preserve">14/07/24 11:00</t>
  </si>
  <si>
    <t xml:space="preserve">360</t>
  </si>
  <si>
    <t xml:space="preserve">4753754103_LDCB1F</t>
  </si>
  <si>
    <t xml:space="preserve">Sheng Liang Li</t>
  </si>
  <si>
    <t xml:space="preserve">361</t>
  </si>
  <si>
    <t xml:space="preserve">362</t>
  </si>
  <si>
    <t xml:space="preserve">13/07/24 15:58</t>
  </si>
  <si>
    <t xml:space="preserve">364</t>
  </si>
  <si>
    <t xml:space="preserve">293</t>
  </si>
  <si>
    <t xml:space="preserve">Chen Ruei-yan</t>
  </si>
  <si>
    <t xml:space="preserve">13/07/24 20:19</t>
  </si>
  <si>
    <t xml:space="preserve">366</t>
  </si>
  <si>
    <t xml:space="preserve">1297501788_LDCB1F</t>
  </si>
  <si>
    <t xml:space="preserve">An Nguyễn</t>
  </si>
  <si>
    <t xml:space="preserve">13/07/24 18:27</t>
  </si>
  <si>
    <t xml:space="preserve">372</t>
  </si>
  <si>
    <t xml:space="preserve">TRẦN THỊ HIỆN</t>
  </si>
  <si>
    <t xml:space="preserve">14/07/24 12:12</t>
  </si>
  <si>
    <t xml:space="preserve">14/07/24 16:04</t>
  </si>
  <si>
    <t xml:space="preserve">378</t>
  </si>
  <si>
    <t xml:space="preserve">Chen hua pin</t>
  </si>
  <si>
    <t xml:space="preserve">14/07/24 15:35</t>
  </si>
  <si>
    <t xml:space="preserve">14/07/24 17:34</t>
  </si>
  <si>
    <t xml:space="preserve">381</t>
  </si>
  <si>
    <t xml:space="preserve">Lê Thị Thúy Hằng</t>
  </si>
  <si>
    <t xml:space="preserve">14/07/24 21:26</t>
  </si>
  <si>
    <t xml:space="preserve">14/07/24 23:22</t>
  </si>
  <si>
    <t xml:space="preserve">384</t>
  </si>
  <si>
    <t xml:space="preserve">NGUYỄN THỊ NHỰT LINH</t>
  </si>
  <si>
    <t xml:space="preserve">14/07/24 14:56</t>
  </si>
  <si>
    <t xml:space="preserve">15/07/24 09:48</t>
  </si>
  <si>
    <t xml:space="preserve">380</t>
  </si>
  <si>
    <t xml:space="preserve">Lerner Jordan Matthew</t>
  </si>
  <si>
    <t xml:space="preserve">15/07/24 08:29</t>
  </si>
  <si>
    <t xml:space="preserve">15/07/24 10:51</t>
  </si>
  <si>
    <t xml:space="preserve">375</t>
  </si>
  <si>
    <t xml:space="preserve">Cao Lâm Mỹ Tiên</t>
  </si>
  <si>
    <t xml:space="preserve">14/07/24 17:55</t>
  </si>
  <si>
    <t xml:space="preserve">15/07/24 10:52</t>
  </si>
  <si>
    <t xml:space="preserve">370</t>
  </si>
  <si>
    <t xml:space="preserve">13/07/24 18:31</t>
  </si>
  <si>
    <t xml:space="preserve">15/07/24 11:00</t>
  </si>
  <si>
    <t xml:space="preserve">374</t>
  </si>
  <si>
    <t xml:space="preserve">Yen Chun Chu</t>
  </si>
  <si>
    <t xml:space="preserve">14/07/24 14:06</t>
  </si>
  <si>
    <t xml:space="preserve">379</t>
  </si>
  <si>
    <t xml:space="preserve">1298906860_LDCB1F</t>
  </si>
  <si>
    <t xml:space="preserve">DUSTBEKOV NURIDDIN OMONOVICH</t>
  </si>
  <si>
    <t xml:space="preserve">14/07/24 15:50</t>
  </si>
  <si>
    <t xml:space="preserve">15/07/24 12:00</t>
  </si>
  <si>
    <t xml:space="preserve">382</t>
  </si>
  <si>
    <t xml:space="preserve">15/07/24 13:15</t>
  </si>
  <si>
    <t xml:space="preserve">15/07/24 15:15</t>
  </si>
  <si>
    <t xml:space="preserve">387</t>
  </si>
  <si>
    <t xml:space="preserve">283</t>
  </si>
  <si>
    <t xml:space="preserve">12/07/24 13:43</t>
  </si>
  <si>
    <t xml:space="preserve">16/07/24 08:24</t>
  </si>
  <si>
    <t xml:space="preserve">352</t>
  </si>
  <si>
    <t xml:space="preserve">ANDO NAOKO</t>
  </si>
  <si>
    <t xml:space="preserve">15/07/24 14:54</t>
  </si>
  <si>
    <t xml:space="preserve">16/07/24 08:26</t>
  </si>
  <si>
    <t xml:space="preserve">376</t>
  </si>
  <si>
    <t xml:space="preserve">1298406336_LDCB1F</t>
  </si>
  <si>
    <t xml:space="preserve">RAYMOND ROBERT BRUCE</t>
  </si>
  <si>
    <t xml:space="preserve">15/07/24 14:51</t>
  </si>
  <si>
    <t xml:space="preserve">16/07/24 11:00</t>
  </si>
  <si>
    <t xml:space="preserve">357</t>
  </si>
  <si>
    <t xml:space="preserve">LÊ THỊ HẾT</t>
  </si>
  <si>
    <t xml:space="preserve">15/07/24 14:07</t>
  </si>
  <si>
    <t xml:space="preserve">388</t>
  </si>
  <si>
    <t xml:space="preserve">Nghiêm Thảo Tâm</t>
  </si>
  <si>
    <t xml:space="preserve">13/07/24 19:24</t>
  </si>
  <si>
    <t xml:space="preserve">16/07/24 11:49</t>
  </si>
  <si>
    <t xml:space="preserve">363</t>
  </si>
  <si>
    <t xml:space="preserve">1297464940_LDCB1F</t>
  </si>
  <si>
    <t xml:space="preserve">322</t>
  </si>
  <si>
    <t xml:space="preserve">16/07/24 14:16</t>
  </si>
  <si>
    <t xml:space="preserve">16/07/24 16:30</t>
  </si>
  <si>
    <t xml:space="preserve">398</t>
  </si>
  <si>
    <t xml:space="preserve">LÊ HUỲNH MINH THƯ</t>
  </si>
  <si>
    <t xml:space="preserve">17/07/24 08:25</t>
  </si>
  <si>
    <t xml:space="preserve">383</t>
  </si>
  <si>
    <t xml:space="preserve">62764798333</t>
  </si>
  <si>
    <t xml:space="preserve">321</t>
  </si>
  <si>
    <t xml:space="preserve">Trần Văn Long</t>
  </si>
  <si>
    <t xml:space="preserve">16/07/24 11:44</t>
  </si>
  <si>
    <t xml:space="preserve">17/07/24 10:24</t>
  </si>
  <si>
    <t xml:space="preserve">397</t>
  </si>
  <si>
    <t xml:space="preserve">16/07/24 13:18</t>
  </si>
  <si>
    <t xml:space="preserve">17/07/24 10:25</t>
  </si>
  <si>
    <t xml:space="preserve">Khánh Linh</t>
  </si>
  <si>
    <t xml:space="preserve">319</t>
  </si>
  <si>
    <t xml:space="preserve">Hoàng Doanh</t>
  </si>
  <si>
    <t xml:space="preserve">15/07/24 23:37</t>
  </si>
  <si>
    <t xml:space="preserve">17/07/24 11:00</t>
  </si>
  <si>
    <t xml:space="preserve">395</t>
  </si>
  <si>
    <t xml:space="preserve">zalo Sang</t>
  </si>
  <si>
    <t xml:space="preserve">16/07/24 10:46</t>
  </si>
  <si>
    <t xml:space="preserve">18/07/24 08:26</t>
  </si>
  <si>
    <t xml:space="preserve">394</t>
  </si>
  <si>
    <t xml:space="preserve">320</t>
  </si>
  <si>
    <t xml:space="preserve">16/07/24 14:15</t>
  </si>
  <si>
    <t xml:space="preserve">18/07/24 10:14</t>
  </si>
  <si>
    <t xml:space="preserve">396</t>
  </si>
  <si>
    <t xml:space="preserve">1327381521_LDCB1F</t>
  </si>
  <si>
    <t xml:space="preserve">18/07/24 11:00</t>
  </si>
  <si>
    <t xml:space="preserve">373</t>
  </si>
  <si>
    <t xml:space="preserve">449387839_LDCB1F</t>
  </si>
  <si>
    <t xml:space="preserve">Hà Thị Thắm</t>
  </si>
  <si>
    <t xml:space="preserve">17/07/24 20:22</t>
  </si>
  <si>
    <t xml:space="preserve">404</t>
  </si>
  <si>
    <t xml:space="preserve">450404351_LDCB1F</t>
  </si>
  <si>
    <t xml:space="preserve">323</t>
  </si>
  <si>
    <t xml:space="preserve">BÙI DƯƠNG ĐẠT</t>
  </si>
  <si>
    <t xml:space="preserve">16/07/24 19:08</t>
  </si>
  <si>
    <t xml:space="preserve">18/07/24 13:45</t>
  </si>
  <si>
    <t xml:space="preserve">399</t>
  </si>
  <si>
    <t xml:space="preserve">PHẠM THỊ LINH</t>
  </si>
  <si>
    <t xml:space="preserve">16/07/24 19:29</t>
  </si>
  <si>
    <t xml:space="preserve">19/07/24 08:38</t>
  </si>
  <si>
    <t xml:space="preserve">368</t>
  </si>
  <si>
    <t xml:space="preserve">Kaji Tomohiro</t>
  </si>
  <si>
    <t xml:space="preserve">18/07/24 22:54</t>
  </si>
  <si>
    <t xml:space="preserve">19/07/24 10:35</t>
  </si>
  <si>
    <t xml:space="preserve">411</t>
  </si>
  <si>
    <t xml:space="preserve">1329811105_LDCB1F</t>
  </si>
  <si>
    <t xml:space="preserve">Cao hữu tiến</t>
  </si>
  <si>
    <t xml:space="preserve">18/07/24 13:58</t>
  </si>
  <si>
    <t xml:space="preserve">19/07/24 10:50</t>
  </si>
  <si>
    <t xml:space="preserve">386</t>
  </si>
  <si>
    <t xml:space="preserve">TRÌNH QUANG MINH</t>
  </si>
  <si>
    <t xml:space="preserve">19/07/24 11:00</t>
  </si>
  <si>
    <t xml:space="preserve">377</t>
  </si>
  <si>
    <t xml:space="preserve">327</t>
  </si>
  <si>
    <t xml:space="preserve">Trần Thuỷ</t>
  </si>
  <si>
    <t xml:space="preserve">17/07/24 23:03</t>
  </si>
  <si>
    <t xml:space="preserve">SHIN</t>
  </si>
  <si>
    <t xml:space="preserve">18/07/24 22:27</t>
  </si>
  <si>
    <t xml:space="preserve">409</t>
  </si>
  <si>
    <t xml:space="preserve">Tiên</t>
  </si>
  <si>
    <t xml:space="preserve">410</t>
  </si>
  <si>
    <t xml:space="preserve">18/07/24 14:49</t>
  </si>
  <si>
    <t xml:space="preserve">19/07/24 12:55</t>
  </si>
  <si>
    <t xml:space="preserve">408</t>
  </si>
  <si>
    <t xml:space="preserve">1303264788_LDCB1F</t>
  </si>
  <si>
    <t xml:space="preserve">338</t>
  </si>
  <si>
    <t xml:space="preserve">a Đường</t>
  </si>
  <si>
    <t xml:space="preserve">19/07/24 15:36</t>
  </si>
  <si>
    <t xml:space="preserve">19/07/24 15:47</t>
  </si>
  <si>
    <t xml:space="preserve">414</t>
  </si>
  <si>
    <t xml:space="preserve">339</t>
  </si>
  <si>
    <t xml:space="preserve">19/07/24 15:42</t>
  </si>
  <si>
    <t xml:space="preserve">20/07/24 08:22</t>
  </si>
  <si>
    <t xml:space="preserve">415</t>
  </si>
  <si>
    <t xml:space="preserve">341</t>
  </si>
  <si>
    <t xml:space="preserve">19/07/24 16:01</t>
  </si>
  <si>
    <t xml:space="preserve">20/07/24 08:32</t>
  </si>
  <si>
    <t xml:space="preserve">417</t>
  </si>
  <si>
    <t xml:space="preserve">Công Thành</t>
  </si>
  <si>
    <t xml:space="preserve">19/07/24 22:20</t>
  </si>
  <si>
    <t xml:space="preserve">20/07/24 09:49</t>
  </si>
  <si>
    <t xml:space="preserve">407</t>
  </si>
  <si>
    <t xml:space="preserve">342</t>
  </si>
  <si>
    <t xml:space="preserve">Howard Terrence Charles</t>
  </si>
  <si>
    <t xml:space="preserve">19/07/24 17:33</t>
  </si>
  <si>
    <t xml:space="preserve">20/07/24 10:57</t>
  </si>
  <si>
    <t xml:space="preserve">418</t>
  </si>
  <si>
    <t xml:space="preserve">18/07/24 14:01</t>
  </si>
  <si>
    <t xml:space="preserve">20/07/24 10:59</t>
  </si>
  <si>
    <t xml:space="preserve">340</t>
  </si>
  <si>
    <t xml:space="preserve">19/07/24 17:42</t>
  </si>
  <si>
    <t xml:space="preserve">20/07/24 11:00</t>
  </si>
  <si>
    <t xml:space="preserve">416</t>
  </si>
  <si>
    <t xml:space="preserve">Ji Hyoung Lee</t>
  </si>
  <si>
    <t xml:space="preserve">20/07/24 17:42</t>
  </si>
  <si>
    <t xml:space="preserve">21/07/24 08:19</t>
  </si>
  <si>
    <t xml:space="preserve">426</t>
  </si>
  <si>
    <t xml:space="preserve">HM4E2KYS99_LDCB1F</t>
  </si>
  <si>
    <t xml:space="preserve">tuyết băng</t>
  </si>
  <si>
    <t xml:space="preserve">20/07/24 16:08</t>
  </si>
  <si>
    <t xml:space="preserve">21/07/24 11:00</t>
  </si>
  <si>
    <t xml:space="preserve">423</t>
  </si>
  <si>
    <t xml:space="preserve">Hà Thanh Vy</t>
  </si>
  <si>
    <t xml:space="preserve">20/07/24 17:30</t>
  </si>
  <si>
    <t xml:space="preserve">21/07/24 18:32</t>
  </si>
  <si>
    <t xml:space="preserve">424</t>
  </si>
  <si>
    <t xml:space="preserve">269</t>
  </si>
  <si>
    <t xml:space="preserve">20/07/24 13:09</t>
  </si>
  <si>
    <t xml:space="preserve">21/07/24 19:28</t>
  </si>
  <si>
    <t xml:space="preserve">4780775806_LDCB1F</t>
  </si>
  <si>
    <t xml:space="preserve">Goh Chee Liang</t>
  </si>
  <si>
    <t xml:space="preserve">19/07/24 22:59</t>
  </si>
  <si>
    <t xml:space="preserve">22/07/24 07:57</t>
  </si>
  <si>
    <t xml:space="preserve">412</t>
  </si>
  <si>
    <t xml:space="preserve">Brotarlo Hilario</t>
  </si>
  <si>
    <t xml:space="preserve">18/07/24 17:12</t>
  </si>
  <si>
    <t xml:space="preserve">22/07/24 07:58</t>
  </si>
  <si>
    <t xml:space="preserve">1275690308_LDCB1F</t>
  </si>
  <si>
    <t xml:space="preserve">21</t>
  </si>
  <si>
    <t xml:space="preserve"> Nguyễn Hồ Hoàng Yến Anh</t>
  </si>
  <si>
    <t xml:space="preserve">19/07/24 14:11</t>
  </si>
  <si>
    <t xml:space="preserve">97382391223</t>
  </si>
  <si>
    <t xml:space="preserve">19/07/24 13:56</t>
  </si>
  <si>
    <t xml:space="preserve">22/07/24 09:38</t>
  </si>
  <si>
    <t xml:space="preserve">413</t>
  </si>
  <si>
    <t xml:space="preserve">21/07/24 18:25</t>
  </si>
  <si>
    <t xml:space="preserve">22/07/24 09:50</t>
  </si>
  <si>
    <t xml:space="preserve">430</t>
  </si>
  <si>
    <t xml:space="preserve">My My</t>
  </si>
  <si>
    <t xml:space="preserve">18/07/24 19:09</t>
  </si>
  <si>
    <t xml:space="preserve">22/07/24 10:13</t>
  </si>
  <si>
    <t xml:space="preserve">358</t>
  </si>
  <si>
    <t xml:space="preserve">359</t>
  </si>
  <si>
    <t xml:space="preserve">Huỳnh Thị Na Rong</t>
  </si>
  <si>
    <t xml:space="preserve">21/07/24 12:56</t>
  </si>
  <si>
    <t xml:space="preserve">22/07/24 10:42</t>
  </si>
  <si>
    <t xml:space="preserve">429</t>
  </si>
  <si>
    <t xml:space="preserve">13/07/24 14:29</t>
  </si>
  <si>
    <t xml:space="preserve">22/07/24 11:00</t>
  </si>
  <si>
    <t xml:space="preserve">365</t>
  </si>
  <si>
    <t xml:space="preserve">343</t>
  </si>
  <si>
    <t xml:space="preserve">Bùi Thị Xoan</t>
  </si>
  <si>
    <t xml:space="preserve">20/07/24 14:42</t>
  </si>
  <si>
    <t xml:space="preserve">419</t>
  </si>
  <si>
    <t xml:space="preserve">345</t>
  </si>
  <si>
    <t xml:space="preserve">Madan Karina</t>
  </si>
  <si>
    <t xml:space="preserve">20/07/24 17:33</t>
  </si>
  <si>
    <t xml:space="preserve">421</t>
  </si>
  <si>
    <t xml:space="preserve">1330880397_LDCB1F</t>
  </si>
  <si>
    <t xml:space="preserve">Tiffany Le</t>
  </si>
  <si>
    <t xml:space="preserve">21/07/24 14:18</t>
  </si>
  <si>
    <t xml:space="preserve">425</t>
  </si>
  <si>
    <t xml:space="preserve">Đỗ Duy Sang</t>
  </si>
  <si>
    <t xml:space="preserve">21/07/24 21:38</t>
  </si>
  <si>
    <t xml:space="preserve">428</t>
  </si>
  <si>
    <t xml:space="preserve">1306222036_LDCB1F</t>
  </si>
  <si>
    <t xml:space="preserve">Minh Khoa Vo</t>
  </si>
  <si>
    <t xml:space="preserve">20/07/24 13:43</t>
  </si>
  <si>
    <t xml:space="preserve">420</t>
  </si>
  <si>
    <t xml:space="preserve">22/07/24 18:50</t>
  </si>
  <si>
    <t xml:space="preserve">23/07/24 08:24</t>
  </si>
  <si>
    <t xml:space="preserve">435</t>
  </si>
  <si>
    <t xml:space="preserve">Huỳnh Thanh Liêm</t>
  </si>
  <si>
    <t xml:space="preserve">434</t>
  </si>
  <si>
    <t xml:space="preserve">23/07/24 11:00</t>
  </si>
  <si>
    <t xml:space="preserve">427</t>
  </si>
  <si>
    <t xml:space="preserve">Vũ Nhật Trường</t>
  </si>
  <si>
    <t xml:space="preserve">23/07/24 15:24</t>
  </si>
  <si>
    <t xml:space="preserve">23/07/24 17:23</t>
  </si>
  <si>
    <t xml:space="preserve">439</t>
  </si>
  <si>
    <t xml:space="preserve">22/07/24 17:23</t>
  </si>
  <si>
    <t xml:space="preserve">24/07/24 08:20</t>
  </si>
  <si>
    <t xml:space="preserve">Lin Hy</t>
  </si>
  <si>
    <t xml:space="preserve">Dang Katherine</t>
  </si>
  <si>
    <t xml:space="preserve">324</t>
  </si>
  <si>
    <t xml:space="preserve">Nguyễn Thanh Tuấn</t>
  </si>
  <si>
    <t xml:space="preserve">21/07/24 17:28</t>
  </si>
  <si>
    <t xml:space="preserve">24/07/24 10:29</t>
  </si>
  <si>
    <t xml:space="preserve">400</t>
  </si>
  <si>
    <t xml:space="preserve">356</t>
  </si>
  <si>
    <t xml:space="preserve">Thư</t>
  </si>
  <si>
    <t xml:space="preserve">23/07/24 13:43</t>
  </si>
  <si>
    <t xml:space="preserve">24/07/24 11:00</t>
  </si>
  <si>
    <t xml:space="preserve">432</t>
  </si>
  <si>
    <t xml:space="preserve">Hồ Tấn Thịnh</t>
  </si>
  <si>
    <t xml:space="preserve">24/07/24 18:48</t>
  </si>
  <si>
    <t xml:space="preserve">25/07/24 10:14</t>
  </si>
  <si>
    <t xml:space="preserve">449</t>
  </si>
  <si>
    <t xml:space="preserve">Đoàn Yên Thanh</t>
  </si>
  <si>
    <t xml:space="preserve">24/07/24 22:59</t>
  </si>
  <si>
    <t xml:space="preserve">25/07/24 13:37</t>
  </si>
  <si>
    <t xml:space="preserve">453</t>
  </si>
  <si>
    <t xml:space="preserve">Trần Thị Mạnh</t>
  </si>
  <si>
    <t xml:space="preserve">25/07/24 13:05</t>
  </si>
  <si>
    <t xml:space="preserve">25/07/24 14:08</t>
  </si>
  <si>
    <t xml:space="preserve">456</t>
  </si>
  <si>
    <t xml:space="preserve">25/07/24 12:55</t>
  </si>
  <si>
    <t xml:space="preserve">25/07/24 16:16</t>
  </si>
  <si>
    <t xml:space="preserve">455</t>
  </si>
  <si>
    <t xml:space="preserve">24/07/24 14:01</t>
  </si>
  <si>
    <t xml:space="preserve">25/07/24 16:17</t>
  </si>
  <si>
    <t xml:space="preserve">448</t>
  </si>
  <si>
    <t xml:space="preserve">MORISHIMA HIROFUTO</t>
  </si>
  <si>
    <t xml:space="preserve">26/07/24 08:33</t>
  </si>
  <si>
    <t xml:space="preserve">Nguyễn Thị Thảo Ngân</t>
  </si>
  <si>
    <t xml:space="preserve">24/07/24 21:42</t>
  </si>
  <si>
    <t xml:space="preserve">26/07/24 08:34</t>
  </si>
  <si>
    <t xml:space="preserve">440</t>
  </si>
  <si>
    <t xml:space="preserve">Tiffany</t>
  </si>
  <si>
    <t xml:space="preserve">25/07/24 18:24</t>
  </si>
  <si>
    <t xml:space="preserve">26/07/24 11:00</t>
  </si>
  <si>
    <t xml:space="preserve">438</t>
  </si>
  <si>
    <t xml:space="preserve">441</t>
  </si>
  <si>
    <t xml:space="preserve">442</t>
  </si>
  <si>
    <t xml:space="preserve">443</t>
  </si>
  <si>
    <t xml:space="preserve">444</t>
  </si>
  <si>
    <t xml:space="preserve">Phương Khánh</t>
  </si>
  <si>
    <t xml:space="preserve">445</t>
  </si>
  <si>
    <t xml:space="preserve">446</t>
  </si>
  <si>
    <t xml:space="preserve">cô Hường</t>
  </si>
  <si>
    <t xml:space="preserve">24/07/24 14:02</t>
  </si>
  <si>
    <t xml:space="preserve">451</t>
  </si>
  <si>
    <t xml:space="preserve">Huỳnh Đức Thạnh</t>
  </si>
  <si>
    <t xml:space="preserve">452</t>
  </si>
  <si>
    <t xml:space="preserve">26/07/24 12:35</t>
  </si>
  <si>
    <t xml:space="preserve">447</t>
  </si>
  <si>
    <t xml:space="preserve">26/07/24 16:21</t>
  </si>
  <si>
    <t xml:space="preserve">450</t>
  </si>
  <si>
    <t xml:space="preserve">Khojamiryan Inna</t>
  </si>
  <si>
    <t xml:space="preserve">26/07/24 14:25</t>
  </si>
  <si>
    <t xml:space="preserve">27/07/24 09:41</t>
  </si>
  <si>
    <t xml:space="preserve">458</t>
  </si>
  <si>
    <t xml:space="preserve">4363913969_LDCB1F</t>
  </si>
  <si>
    <t xml:space="preserve">Nguyễn Hồ Hoàng Yến Anh</t>
  </si>
  <si>
    <t xml:space="preserve">26/07/24 17:00</t>
  </si>
  <si>
    <t xml:space="preserve">27/07/24 09:42</t>
  </si>
  <si>
    <t xml:space="preserve">459</t>
  </si>
  <si>
    <t xml:space="preserve">Phạm Hồng Luân</t>
  </si>
  <si>
    <t xml:space="preserve">26/07/24 18:09</t>
  </si>
  <si>
    <t xml:space="preserve">27/07/24 10:27</t>
  </si>
  <si>
    <t xml:space="preserve">464</t>
  </si>
  <si>
    <t xml:space="preserve">389</t>
  </si>
  <si>
    <t xml:space="preserve">Nguyễn Hồng phong</t>
  </si>
  <si>
    <t xml:space="preserve">27/07/24 18:43</t>
  </si>
  <si>
    <t xml:space="preserve">28/07/24 08:39</t>
  </si>
  <si>
    <t xml:space="preserve">475</t>
  </si>
  <si>
    <t xml:space="preserve">477</t>
  </si>
  <si>
    <t xml:space="preserve">26/07/24 15:52</t>
  </si>
  <si>
    <t xml:space="preserve">28/07/24 11:00</t>
  </si>
  <si>
    <t xml:space="preserve">463</t>
  </si>
  <si>
    <t xml:space="preserve">Changhwan,park</t>
  </si>
  <si>
    <t xml:space="preserve">27/07/24 14:12</t>
  </si>
  <si>
    <t xml:space="preserve">467</t>
  </si>
  <si>
    <t xml:space="preserve">Thục Uyên</t>
  </si>
  <si>
    <t xml:space="preserve">468</t>
  </si>
  <si>
    <t xml:space="preserve">Dương Đoàn Uyên Nhi</t>
  </si>
  <si>
    <t xml:space="preserve">27/07/24 16:09</t>
  </si>
  <si>
    <t xml:space="preserve">472</t>
  </si>
  <si>
    <t xml:space="preserve">69539022217</t>
  </si>
  <si>
    <t xml:space="preserve">390</t>
  </si>
  <si>
    <t xml:space="preserve">HUANG JIAHAO</t>
  </si>
  <si>
    <t xml:space="preserve">28/07/24 11:06</t>
  </si>
  <si>
    <t xml:space="preserve">28/07/24 13:04</t>
  </si>
  <si>
    <t xml:space="preserve">478</t>
  </si>
  <si>
    <t xml:space="preserve">391</t>
  </si>
  <si>
    <t xml:space="preserve">HUỲNH QUỐC TUẤN</t>
  </si>
  <si>
    <t xml:space="preserve">28/07/24 13:10</t>
  </si>
  <si>
    <t xml:space="preserve">29/07/24 08:27</t>
  </si>
  <si>
    <t xml:space="preserve">479</t>
  </si>
  <si>
    <t xml:space="preserve">29/07/24 08:28</t>
  </si>
  <si>
    <t xml:space="preserve">405</t>
  </si>
  <si>
    <t xml:space="preserve">29/07/24 09:24</t>
  </si>
  <si>
    <t xml:space="preserve">476</t>
  </si>
  <si>
    <t xml:space="preserve">474</t>
  </si>
  <si>
    <t xml:space="preserve">Trần Thị Ngọc Anh</t>
  </si>
  <si>
    <t xml:space="preserve">27/07/24 17:49</t>
  </si>
  <si>
    <t xml:space="preserve">29/07/24 10:27</t>
  </si>
  <si>
    <t xml:space="preserve">473</t>
  </si>
  <si>
    <t xml:space="preserve">26/07/24 15:05</t>
  </si>
  <si>
    <t xml:space="preserve">29/07/24 11:00</t>
  </si>
  <si>
    <t xml:space="preserve">460</t>
  </si>
  <si>
    <t xml:space="preserve">Huỳnh Thị Thu Thủy</t>
  </si>
  <si>
    <t xml:space="preserve">26/07/24 14:34</t>
  </si>
  <si>
    <t xml:space="preserve">461</t>
  </si>
  <si>
    <t xml:space="preserve">Huang Ricky</t>
  </si>
  <si>
    <t xml:space="preserve">28/07/24 18:02</t>
  </si>
  <si>
    <t xml:space="preserve">29/07/24 11:23</t>
  </si>
  <si>
    <t xml:space="preserve">466</t>
  </si>
  <si>
    <t xml:space="preserve">4443160137_LDCB1F</t>
  </si>
  <si>
    <t xml:space="preserve">Edwards Stephen Douglas</t>
  </si>
  <si>
    <t xml:space="preserve">29/07/24 19:22</t>
  </si>
  <si>
    <t xml:space="preserve">30/07/24 09:09</t>
  </si>
  <si>
    <t xml:space="preserve">457</t>
  </si>
  <si>
    <t xml:space="preserve">4863026991_LDCB1F</t>
  </si>
  <si>
    <t xml:space="preserve">29/07/24 21:29</t>
  </si>
  <si>
    <t xml:space="preserve">30/07/24 09:52</t>
  </si>
  <si>
    <t xml:space="preserve">488</t>
  </si>
  <si>
    <t xml:space="preserve">Đoàn Ngọc Bích Trân</t>
  </si>
  <si>
    <t xml:space="preserve">25/07/24 15:20</t>
  </si>
  <si>
    <t xml:space="preserve">30/07/24 10:52</t>
  </si>
  <si>
    <t xml:space="preserve">436</t>
  </si>
  <si>
    <t xml:space="preserve">392</t>
  </si>
  <si>
    <t xml:space="preserve">Nguyễn Bé</t>
  </si>
  <si>
    <t xml:space="preserve">28/07/24 18:44</t>
  </si>
  <si>
    <t xml:space="preserve">30/07/24 11:00</t>
  </si>
  <si>
    <t xml:space="preserve">480</t>
  </si>
  <si>
    <t xml:space="preserve">393</t>
  </si>
  <si>
    <t xml:space="preserve">Ngọc Lan</t>
  </si>
  <si>
    <t xml:space="preserve">29/07/24 14:06</t>
  </si>
  <si>
    <t xml:space="preserve">481</t>
  </si>
  <si>
    <t xml:space="preserve">Sumiog Richel</t>
  </si>
  <si>
    <t xml:space="preserve">27/07/24 22:41</t>
  </si>
  <si>
    <t xml:space="preserve">30/07/24 12:52</t>
  </si>
  <si>
    <t xml:space="preserve">260485656_LDCB1F</t>
  </si>
  <si>
    <t xml:space="preserve">Nhật Xuân</t>
  </si>
  <si>
    <t xml:space="preserve">31/07/24 08:54</t>
  </si>
  <si>
    <t xml:space="preserve">482</t>
  </si>
  <si>
    <t xml:space="preserve">483</t>
  </si>
  <si>
    <t xml:space="preserve">01/07/24 20:57</t>
  </si>
  <si>
    <t xml:space="preserve">31/07/24 11:00</t>
  </si>
  <si>
    <t xml:space="preserve">Tam Tran</t>
  </si>
  <si>
    <t xml:space="preserve">30/07/24 13:21</t>
  </si>
  <si>
    <t xml:space="preserve">490</t>
  </si>
  <si>
    <t xml:space="preserve">1339797617_LDCB1F</t>
  </si>
  <si>
    <t xml:space="preserve">406</t>
  </si>
  <si>
    <t xml:space="preserve">31/07/24 21:24</t>
  </si>
  <si>
    <t xml:space="preserve">01/08/24 09:17</t>
  </si>
  <si>
    <t xml:space="preserve">496</t>
  </si>
  <si>
    <t xml:space="preserve">31/07/24 13:45</t>
  </si>
  <si>
    <t xml:space="preserve">01/08/24 10:49</t>
  </si>
  <si>
    <t xml:space="preserve">493</t>
  </si>
  <si>
    <t xml:space="preserve">1316920728_LDCB1F</t>
  </si>
  <si>
    <t xml:space="preserve">31/07/24 21:35</t>
  </si>
  <si>
    <t xml:space="preserve">01/08/24 11:00</t>
  </si>
  <si>
    <t xml:space="preserve">431</t>
  </si>
  <si>
    <t xml:space="preserve">Đinh Thị Trang</t>
  </si>
  <si>
    <t xml:space="preserve">462</t>
  </si>
  <si>
    <t xml:space="preserve">492</t>
  </si>
  <si>
    <t xml:space="preserve">Lê Trần Minh Trung</t>
  </si>
  <si>
    <t xml:space="preserve">31/07/24 15:57</t>
  </si>
  <si>
    <t xml:space="preserve">495</t>
  </si>
  <si>
    <t xml:space="preserve">346</t>
  </si>
  <si>
    <t xml:space="preserve">MINORU KOBAYASHI</t>
  </si>
  <si>
    <t xml:space="preserve">23/07/24 15:53</t>
  </si>
  <si>
    <t xml:space="preserve">01/08/24 17:13</t>
  </si>
  <si>
    <t xml:space="preserve">422</t>
  </si>
  <si>
    <t xml:space="preserve">1305517368_LDCB1F</t>
  </si>
  <si>
    <t xml:space="preserve">01/08/24 14:41</t>
  </si>
  <si>
    <t xml:space="preserve">02/08/24 11:00</t>
  </si>
  <si>
    <t xml:space="preserve">01/08/24 19:18</t>
  </si>
  <si>
    <t xml:space="preserve">504</t>
  </si>
  <si>
    <t xml:space="preserve">Thạch Thị Duyên</t>
  </si>
  <si>
    <t xml:space="preserve">01/08/24 20:01</t>
  </si>
  <si>
    <t xml:space="preserve">505</t>
  </si>
  <si>
    <t xml:space="preserve">MB 53PNL</t>
  </si>
  <si>
    <t xml:space="preserve">02/08/24 12:03</t>
  </si>
  <si>
    <t xml:space="preserve">Thủy</t>
  </si>
  <si>
    <t xml:space="preserve">02/08/24 13:41</t>
  </si>
  <si>
    <t xml:space="preserve">02/08/24 17:30</t>
  </si>
  <si>
    <t xml:space="preserve">507</t>
  </si>
  <si>
    <t xml:space="preserve">Kallayi Noufal K</t>
  </si>
  <si>
    <t xml:space="preserve">02/08/24 15:03</t>
  </si>
  <si>
    <t xml:space="preserve">03/08/24 08:27</t>
  </si>
  <si>
    <t xml:space="preserve">509</t>
  </si>
  <si>
    <t xml:space="preserve">4726219114_LDCB1F</t>
  </si>
  <si>
    <t xml:space="preserve">01/08/24 16:10</t>
  </si>
  <si>
    <t xml:space="preserve">03/08/24 11:00</t>
  </si>
  <si>
    <t xml:space="preserve">Campbell</t>
  </si>
  <si>
    <t xml:space="preserve">02/08/24 16:31</t>
  </si>
  <si>
    <t xml:space="preserve">511</t>
  </si>
  <si>
    <t xml:space="preserve">NGUYỄN ĐỨC HOÀNG</t>
  </si>
  <si>
    <t xml:space="preserve">02/08/24 19:25</t>
  </si>
  <si>
    <t xml:space="preserve">03/08/24 11:59</t>
  </si>
  <si>
    <t xml:space="preserve"> Lan Anh</t>
  </si>
  <si>
    <t xml:space="preserve">01/08/24 23:49</t>
  </si>
  <si>
    <t xml:space="preserve">04/08/24 08:44</t>
  </si>
  <si>
    <t xml:space="preserve">465</t>
  </si>
  <si>
    <t xml:space="preserve">10510744387</t>
  </si>
  <si>
    <t xml:space="preserve">chen zhiheng</t>
  </si>
  <si>
    <t xml:space="preserve">04/08/24 08:46</t>
  </si>
  <si>
    <t xml:space="preserve">454</t>
  </si>
  <si>
    <t xml:space="preserve">452558359_LDCB1F</t>
  </si>
  <si>
    <t xml:space="preserve">Bùi Thị Ngọc Trâm</t>
  </si>
  <si>
    <t xml:space="preserve">03/08/24 22:31</t>
  </si>
  <si>
    <t xml:space="preserve">514</t>
  </si>
  <si>
    <t xml:space="preserve">CHIA MIN YAN</t>
  </si>
  <si>
    <t xml:space="preserve">01/08/24 16:41</t>
  </si>
  <si>
    <t xml:space="preserve">487</t>
  </si>
  <si>
    <t xml:space="preserve">HM54QMK28P_LDCB1F</t>
  </si>
  <si>
    <t xml:space="preserve">TRẦN PHƯƠNG THÔNG</t>
  </si>
  <si>
    <t xml:space="preserve">04/08/24 11:00</t>
  </si>
  <si>
    <t xml:space="preserve">491</t>
  </si>
  <si>
    <t xml:space="preserve">NGUYỄN THỊ THANH THỦY</t>
  </si>
  <si>
    <t xml:space="preserve">03/08/24 15:06</t>
  </si>
  <si>
    <t xml:space="preserve">04/08/24 15:00</t>
  </si>
  <si>
    <t xml:space="preserve">506</t>
  </si>
  <si>
    <t xml:space="preserve">Phùng Tuyết Liên</t>
  </si>
  <si>
    <t xml:space="preserve">31/07/24 16:56</t>
  </si>
  <si>
    <t xml:space="preserve">04/08/24 16:08</t>
  </si>
  <si>
    <t xml:space="preserve">433</t>
  </si>
  <si>
    <t xml:space="preserve">RATTANACK ATH</t>
  </si>
  <si>
    <t xml:space="preserve">02/08/24 15:06</t>
  </si>
  <si>
    <t xml:space="preserve">05/08/24 08:28</t>
  </si>
  <si>
    <t xml:space="preserve">510</t>
  </si>
  <si>
    <t xml:space="preserve">VÕ THỊ BẢO ANH</t>
  </si>
  <si>
    <t xml:space="preserve">03/08/24 14:47</t>
  </si>
  <si>
    <t xml:space="preserve">05/08/24 11:00</t>
  </si>
  <si>
    <t xml:space="preserve">512</t>
  </si>
  <si>
    <t xml:space="preserve">NGUYỄN THU HOÀI</t>
  </si>
  <si>
    <t xml:space="preserve">04/08/24 14:03</t>
  </si>
  <si>
    <t xml:space="preserve">515</t>
  </si>
  <si>
    <t xml:space="preserve">Dương Thu Hoài</t>
  </si>
  <si>
    <t xml:space="preserve">05/08/24 19:32</t>
  </si>
  <si>
    <t xml:space="preserve">06/08/24 08:35</t>
  </si>
  <si>
    <t xml:space="preserve">517</t>
  </si>
  <si>
    <r>
      <rPr>
        <sz val="11"/>
        <color theme="1"/>
        <rFont val="Times New Roman"/>
        <family val="1"/>
        <charset val="1"/>
      </rPr>
      <t xml:space="preserve">Khách Trung Quốc - </t>
    </r>
    <r>
      <rPr>
        <sz val="11"/>
        <color theme="1"/>
        <rFont val="Noto Sans CJK SC"/>
        <family val="2"/>
      </rPr>
      <t xml:space="preserve">상민 지</t>
    </r>
  </si>
  <si>
    <t xml:space="preserve">03/08/24 15:18</t>
  </si>
  <si>
    <t xml:space="preserve">06/08/24 11:00</t>
  </si>
  <si>
    <t xml:space="preserve">JI SANGMIN</t>
  </si>
  <si>
    <t xml:space="preserve">NGUYỄN HÀO PHÚ</t>
  </si>
  <si>
    <t xml:space="preserve">513</t>
  </si>
  <si>
    <t xml:space="preserve">Cao Nu Lan Phuong</t>
  </si>
  <si>
    <t xml:space="preserve">02/08/24 14:09</t>
  </si>
  <si>
    <t xml:space="preserve">06/08/24 14:42</t>
  </si>
  <si>
    <t xml:space="preserve">508</t>
  </si>
  <si>
    <t xml:space="preserve">Nguyễn Lâm</t>
  </si>
  <si>
    <t xml:space="preserve">06/08/24 13:18</t>
  </si>
  <si>
    <t xml:space="preserve">07/08/24 08:42</t>
  </si>
  <si>
    <t xml:space="preserve">500</t>
  </si>
  <si>
    <t xml:space="preserve">Tram</t>
  </si>
  <si>
    <t xml:space="preserve">06/08/24 16:30</t>
  </si>
  <si>
    <t xml:space="preserve">07/08/24 10:51</t>
  </si>
  <si>
    <t xml:space="preserve">520</t>
  </si>
  <si>
    <t xml:space="preserve">06/08/24 14:54</t>
  </si>
  <si>
    <t xml:space="preserve">07/08/24 11:00</t>
  </si>
  <si>
    <t xml:space="preserve">519</t>
  </si>
  <si>
    <t xml:space="preserve">Huỳnh Thạnh Phú</t>
  </si>
  <si>
    <t xml:space="preserve">06/08/24 18:51</t>
  </si>
  <si>
    <t xml:space="preserve">08/08/24 08:27</t>
  </si>
  <si>
    <t xml:space="preserve">489</t>
  </si>
  <si>
    <t xml:space="preserve">TRẦN CÔNG THÀNH</t>
  </si>
  <si>
    <t xml:space="preserve">07/08/24 20:19</t>
  </si>
  <si>
    <t xml:space="preserve">08/08/24 09:46</t>
  </si>
  <si>
    <t xml:space="preserve">524</t>
  </si>
  <si>
    <t xml:space="preserve">05/08/24 15:14</t>
  </si>
  <si>
    <t xml:space="preserve">08/08/24 10:27</t>
  </si>
  <si>
    <t xml:space="preserve">499</t>
  </si>
  <si>
    <t xml:space="preserve">498</t>
  </si>
  <si>
    <t xml:space="preserve">Phạm thanh hà</t>
  </si>
  <si>
    <t xml:space="preserve">05/08/24 15:15</t>
  </si>
  <si>
    <t xml:space="preserve">497</t>
  </si>
  <si>
    <t xml:space="preserve">Hà Hà - Hà Lý</t>
  </si>
  <si>
    <t xml:space="preserve">07/08/24 13:52</t>
  </si>
  <si>
    <t xml:space="preserve">08/08/24 10:49</t>
  </si>
  <si>
    <t xml:space="preserve">522</t>
  </si>
  <si>
    <t xml:space="preserve">Matsubayashi Seiji</t>
  </si>
  <si>
    <t xml:space="preserve">07/08/24 15:44</t>
  </si>
  <si>
    <t xml:space="preserve">08/08/24 11:05</t>
  </si>
  <si>
    <t xml:space="preserve">4836972394_LDCB1F</t>
  </si>
  <si>
    <t xml:space="preserve">06/08/24 14:37</t>
  </si>
  <si>
    <t xml:space="preserve">08/08/24 12:25</t>
  </si>
  <si>
    <t xml:space="preserve">518</t>
  </si>
  <si>
    <t xml:space="preserve">Bùi Văn Ngọc</t>
  </si>
  <si>
    <t xml:space="preserve">08/08/24 14:29</t>
  </si>
  <si>
    <t xml:space="preserve">09/08/24 11:00</t>
  </si>
  <si>
    <t xml:space="preserve">525</t>
  </si>
  <si>
    <t xml:space="preserve">NGUYEN PHU HAO</t>
  </si>
  <si>
    <t xml:space="preserve">08/08/24 18:03</t>
  </si>
  <si>
    <t xml:space="preserve">10/08/24 10:57</t>
  </si>
  <si>
    <t xml:space="preserve">523</t>
  </si>
  <si>
    <t xml:space="preserve">Khánh Quang Ngô</t>
  </si>
  <si>
    <t xml:space="preserve">10/08/24 14:12</t>
  </si>
  <si>
    <t xml:space="preserve">11/08/24 08:37</t>
  </si>
  <si>
    <t xml:space="preserve">537</t>
  </si>
  <si>
    <t xml:space="preserve">Bob Raymond</t>
  </si>
  <si>
    <t xml:space="preserve">09/08/24 14:50</t>
  </si>
  <si>
    <t xml:space="preserve">11/08/24 09:17</t>
  </si>
  <si>
    <t xml:space="preserve">532</t>
  </si>
  <si>
    <t xml:space="preserve">MURPHY CRAIG ANT</t>
  </si>
  <si>
    <t xml:space="preserve">09/08/24 14:51</t>
  </si>
  <si>
    <t xml:space="preserve">11/08/24 09:19</t>
  </si>
  <si>
    <t xml:space="preserve">533</t>
  </si>
  <si>
    <t xml:space="preserve">LIU HUAMING</t>
  </si>
  <si>
    <t xml:space="preserve">10/08/24 22:19</t>
  </si>
  <si>
    <t xml:space="preserve">11/08/24 09:57</t>
  </si>
  <si>
    <t xml:space="preserve">539</t>
  </si>
  <si>
    <t xml:space="preserve">1329474380_LDCB1F</t>
  </si>
  <si>
    <t xml:space="preserve">Phạm Duy Khôi</t>
  </si>
  <si>
    <t xml:space="preserve">09/08/24 14:38</t>
  </si>
  <si>
    <t xml:space="preserve">11/08/24 11:00</t>
  </si>
  <si>
    <t xml:space="preserve">526</t>
  </si>
  <si>
    <t xml:space="preserve">Jerome Solti</t>
  </si>
  <si>
    <t xml:space="preserve">09/08/24 22:54</t>
  </si>
  <si>
    <t xml:space="preserve">535</t>
  </si>
  <si>
    <t xml:space="preserve">Lê Văn Phỉ</t>
  </si>
  <si>
    <t xml:space="preserve">10/08/24 14:20</t>
  </si>
  <si>
    <t xml:space="preserve">536</t>
  </si>
  <si>
    <t xml:space="preserve">Chi Truong</t>
  </si>
  <si>
    <t xml:space="preserve">11/08/24 13:53</t>
  </si>
  <si>
    <t xml:space="preserve">12/08/24 08:33</t>
  </si>
  <si>
    <t xml:space="preserve">528</t>
  </si>
  <si>
    <t xml:space="preserve">1327525756_LDCB1F</t>
  </si>
  <si>
    <t xml:space="preserve">Lin Chin Hung</t>
  </si>
  <si>
    <t xml:space="preserve">11/08/24 13:38</t>
  </si>
  <si>
    <t xml:space="preserve">12/08/24 08:34</t>
  </si>
  <si>
    <t xml:space="preserve">541</t>
  </si>
  <si>
    <t xml:space="preserve">11/08/24 12:20</t>
  </si>
  <si>
    <t xml:space="preserve">540</t>
  </si>
  <si>
    <t xml:space="preserve">Đặng Xuân Hải</t>
  </si>
  <si>
    <t xml:space="preserve">11/08/24 17:54</t>
  </si>
  <si>
    <t xml:space="preserve">12/08/24 09:24</t>
  </si>
  <si>
    <t xml:space="preserve">542</t>
  </si>
  <si>
    <t xml:space="preserve">TRẦN NGỌC ĐỊNH</t>
  </si>
  <si>
    <t xml:space="preserve">12/08/24 10:04</t>
  </si>
  <si>
    <t xml:space="preserve">516</t>
  </si>
  <si>
    <t xml:space="preserve">Kao Haowei</t>
  </si>
  <si>
    <t xml:space="preserve">12/08/24 13:49</t>
  </si>
  <si>
    <t xml:space="preserve">13/08/24 10:42</t>
  </si>
  <si>
    <t xml:space="preserve">545</t>
  </si>
  <si>
    <t xml:space="preserve">1331020560_LDCB1F</t>
  </si>
  <si>
    <t xml:space="preserve">437</t>
  </si>
  <si>
    <t xml:space="preserve">Hoàng phúc</t>
  </si>
  <si>
    <t xml:space="preserve">12/08/24 15:16</t>
  </si>
  <si>
    <t xml:space="preserve">13/08/24 10:50</t>
  </si>
  <si>
    <t xml:space="preserve">531</t>
  </si>
  <si>
    <t xml:space="preserve">78811685670</t>
  </si>
  <si>
    <t xml:space="preserve">Perkins Jon</t>
  </si>
  <si>
    <t xml:space="preserve">12/08/24 20:12</t>
  </si>
  <si>
    <t xml:space="preserve">14/08/24 10:57</t>
  </si>
  <si>
    <t xml:space="preserve">756470510_LDCB1F</t>
  </si>
  <si>
    <t xml:space="preserve">Lê Thị Mỹ Nhung</t>
  </si>
  <si>
    <t xml:space="preserve">14/08/24 14:22</t>
  </si>
  <si>
    <t xml:space="preserve">15/08/24 09:06</t>
  </si>
  <si>
    <t xml:space="preserve">553</t>
  </si>
  <si>
    <t xml:space="preserve">14/08/24 15:47</t>
  </si>
  <si>
    <t xml:space="preserve">558</t>
  </si>
  <si>
    <t xml:space="preserve">Nguyen Trang Phuong Anh</t>
  </si>
  <si>
    <t xml:space="preserve">11/08/24 15:08</t>
  </si>
  <si>
    <t xml:space="preserve">538</t>
  </si>
  <si>
    <t xml:space="preserve">456780383_LDCB1F</t>
  </si>
  <si>
    <t xml:space="preserve">14/08/24 14:20</t>
  </si>
  <si>
    <t xml:space="preserve">15/08/24 10:31</t>
  </si>
  <si>
    <t xml:space="preserve">552</t>
  </si>
  <si>
    <t xml:space="preserve">Teck Chye Lim</t>
  </si>
  <si>
    <t xml:space="preserve">11/08/24 16:04</t>
  </si>
  <si>
    <t xml:space="preserve">15/08/24 11:00</t>
  </si>
  <si>
    <t xml:space="preserve">521</t>
  </si>
  <si>
    <t xml:space="preserve">4422560123_LDCB1F</t>
  </si>
  <si>
    <t xml:space="preserve">Nguyen Thi Thuc Anh</t>
  </si>
  <si>
    <t xml:space="preserve">15/08/24 17:41</t>
  </si>
  <si>
    <t xml:space="preserve">16/08/24 08:34</t>
  </si>
  <si>
    <t xml:space="preserve">561</t>
  </si>
  <si>
    <t xml:space="preserve">4437375238_LDCB1F</t>
  </si>
  <si>
    <t xml:space="preserve">15/08/24 19:12</t>
  </si>
  <si>
    <t xml:space="preserve">16/08/24 08:35</t>
  </si>
  <si>
    <t xml:space="preserve">562</t>
  </si>
  <si>
    <t xml:space="preserve">Trần Phương Dung</t>
  </si>
  <si>
    <t xml:space="preserve">13/08/24 13:49</t>
  </si>
  <si>
    <t xml:space="preserve">16/08/24 10:14</t>
  </si>
  <si>
    <t xml:space="preserve">544</t>
  </si>
  <si>
    <t xml:space="preserve">chị Trâm</t>
  </si>
  <si>
    <t xml:space="preserve">16/08/24 10:19</t>
  </si>
  <si>
    <t xml:space="preserve">550</t>
  </si>
  <si>
    <t xml:space="preserve">HILL WARREN DOUGLAS</t>
  </si>
  <si>
    <t xml:space="preserve">15/08/24 17:26</t>
  </si>
  <si>
    <t xml:space="preserve">16/08/24 11:00</t>
  </si>
  <si>
    <t xml:space="preserve">560</t>
  </si>
  <si>
    <t xml:space="preserve">1334388520_LDCB1F</t>
  </si>
  <si>
    <t xml:space="preserve">park soojung</t>
  </si>
  <si>
    <t xml:space="preserve">16/08/24 22:32</t>
  </si>
  <si>
    <t xml:space="preserve">17/08/24 08:52</t>
  </si>
  <si>
    <t xml:space="preserve">317</t>
  </si>
  <si>
    <t xml:space="preserve">1291841312_LDCB1F</t>
  </si>
  <si>
    <t xml:space="preserve">Graham Anthony</t>
  </si>
  <si>
    <t xml:space="preserve">15/08/24 17:23</t>
  </si>
  <si>
    <t xml:space="preserve">17/08/24 09:37</t>
  </si>
  <si>
    <t xml:space="preserve">551</t>
  </si>
  <si>
    <t xml:space="preserve">300037612_LDCB1F</t>
  </si>
  <si>
    <t xml:space="preserve">16/08/24 15:48</t>
  </si>
  <si>
    <t xml:space="preserve">17/08/24 10:51</t>
  </si>
  <si>
    <t xml:space="preserve">568</t>
  </si>
  <si>
    <t xml:space="preserve">16/08/24 14:56</t>
  </si>
  <si>
    <t xml:space="preserve">17/08/24 11:00</t>
  </si>
  <si>
    <t xml:space="preserve">563</t>
  </si>
  <si>
    <t xml:space="preserve">Vvvbeo</t>
  </si>
  <si>
    <t xml:space="preserve">17/08/24 10:04</t>
  </si>
  <si>
    <t xml:space="preserve">17/08/24 11:28</t>
  </si>
  <si>
    <t xml:space="preserve">564</t>
  </si>
  <si>
    <t xml:space="preserve">william</t>
  </si>
  <si>
    <t xml:space="preserve">17/08/24 14:01</t>
  </si>
  <si>
    <t xml:space="preserve">17/08/24 16:00</t>
  </si>
  <si>
    <t xml:space="preserve">574</t>
  </si>
  <si>
    <t xml:space="preserve">16/08/24 17:12</t>
  </si>
  <si>
    <t xml:space="preserve">18/08/24 08:17</t>
  </si>
  <si>
    <t xml:space="preserve">548</t>
  </si>
  <si>
    <t xml:space="preserve">Thái Long Thiên Thảo</t>
  </si>
  <si>
    <t xml:space="preserve">17/08/24 21:46</t>
  </si>
  <si>
    <t xml:space="preserve">18/08/24 10:46</t>
  </si>
  <si>
    <t xml:space="preserve">571</t>
  </si>
  <si>
    <t xml:space="preserve">Trần Thế Trọng</t>
  </si>
  <si>
    <t xml:space="preserve">15/08/24 15:32</t>
  </si>
  <si>
    <t xml:space="preserve">19/08/24 08:41</t>
  </si>
  <si>
    <t xml:space="preserve">557</t>
  </si>
  <si>
    <t xml:space="preserve">470</t>
  </si>
  <si>
    <t xml:space="preserve">Kiều Nguyễn</t>
  </si>
  <si>
    <t xml:space="preserve">16/08/24 15:12</t>
  </si>
  <si>
    <t xml:space="preserve">19/08/24 09:48</t>
  </si>
  <si>
    <t xml:space="preserve">566</t>
  </si>
  <si>
    <t xml:space="preserve">471</t>
  </si>
  <si>
    <t xml:space="preserve">Dimple Sharma</t>
  </si>
  <si>
    <t xml:space="preserve">19/08/24 10:01</t>
  </si>
  <si>
    <t xml:space="preserve">19/08/24 16:12</t>
  </si>
  <si>
    <t xml:space="preserve">567</t>
  </si>
  <si>
    <t xml:space="preserve">Truong thi cam linh linh</t>
  </si>
  <si>
    <t xml:space="preserve">19/08/24 14:02</t>
  </si>
  <si>
    <t xml:space="preserve">20/08/24 08:30</t>
  </si>
  <si>
    <t xml:space="preserve">579</t>
  </si>
  <si>
    <t xml:space="preserve">302829875_LDCB1F</t>
  </si>
  <si>
    <t xml:space="preserve">Yumy</t>
  </si>
  <si>
    <t xml:space="preserve">19/08/24 14:42</t>
  </si>
  <si>
    <t xml:space="preserve">20/08/24 08:55</t>
  </si>
  <si>
    <t xml:space="preserve">569</t>
  </si>
  <si>
    <t xml:space="preserve">570</t>
  </si>
  <si>
    <t xml:space="preserve">Nguyễn Phú Hào</t>
  </si>
  <si>
    <t xml:space="preserve">18/08/24 13:50</t>
  </si>
  <si>
    <t xml:space="preserve">20/08/24 10:07</t>
  </si>
  <si>
    <t xml:space="preserve">575</t>
  </si>
  <si>
    <t xml:space="preserve">15/08/24 16:21</t>
  </si>
  <si>
    <t xml:space="preserve">20/08/24 11:00</t>
  </si>
  <si>
    <t xml:space="preserve">549</t>
  </si>
  <si>
    <t xml:space="preserve">Balázs Ben</t>
  </si>
  <si>
    <t xml:space="preserve">17/08/24 19:17</t>
  </si>
  <si>
    <t xml:space="preserve">577</t>
  </si>
  <si>
    <t xml:space="preserve">HM2MFXRC4P_LDCB1F</t>
  </si>
  <si>
    <t xml:space="preserve">484</t>
  </si>
  <si>
    <t xml:space="preserve">Xinh</t>
  </si>
  <si>
    <t xml:space="preserve">20/08/24 11:11</t>
  </si>
  <si>
    <t xml:space="preserve">20/08/24 12:55</t>
  </si>
  <si>
    <t xml:space="preserve">582</t>
  </si>
  <si>
    <t xml:space="preserve">Hoàng Thanh</t>
  </si>
  <si>
    <t xml:space="preserve">20/08/24 12:05</t>
  </si>
  <si>
    <t xml:space="preserve">20/08/24 14:10</t>
  </si>
  <si>
    <t xml:space="preserve">580</t>
  </si>
  <si>
    <t xml:space="preserve">485</t>
  </si>
  <si>
    <t xml:space="preserve">Nguyễn Ngọc Thành</t>
  </si>
  <si>
    <t xml:space="preserve">20/08/24 12:21</t>
  </si>
  <si>
    <t xml:space="preserve">20/08/24 14:11</t>
  </si>
  <si>
    <t xml:space="preserve">583</t>
  </si>
  <si>
    <t xml:space="preserve">20/08/24 19:29</t>
  </si>
  <si>
    <t xml:space="preserve">573</t>
  </si>
  <si>
    <t xml:space="preserve">NAGASAWA HIROSHI</t>
  </si>
  <si>
    <t xml:space="preserve">14/08/24 15:35</t>
  </si>
  <si>
    <t xml:space="preserve">21/08/24 08:26</t>
  </si>
  <si>
    <t xml:space="preserve">246273637_LDCB1F</t>
  </si>
  <si>
    <t xml:space="preserve">19/08/24 14:01</t>
  </si>
  <si>
    <t xml:space="preserve">21/08/24 17:00</t>
  </si>
  <si>
    <t xml:space="preserve">578</t>
  </si>
  <si>
    <t xml:space="preserve">Bùi Thị Kim Oanh</t>
  </si>
  <si>
    <t xml:space="preserve">21/08/24 15:19</t>
  </si>
  <si>
    <t xml:space="preserve">22/08/24 11:00</t>
  </si>
  <si>
    <t xml:space="preserve">588</t>
  </si>
  <si>
    <t xml:space="preserve">Henry Nathan</t>
  </si>
  <si>
    <t xml:space="preserve">20/08/24 21:07</t>
  </si>
  <si>
    <t xml:space="preserve">23/08/24 11:00</t>
  </si>
  <si>
    <t xml:space="preserve">581</t>
  </si>
  <si>
    <t xml:space="preserve">1339137652_LDCB1F</t>
  </si>
  <si>
    <t xml:space="preserve">FARUQUE MD OMAR</t>
  </si>
  <si>
    <t xml:space="preserve">21/08/24 22:34</t>
  </si>
  <si>
    <t xml:space="preserve">591</t>
  </si>
  <si>
    <t xml:space="preserve">MARK ANTHONY SEQUERAH</t>
  </si>
  <si>
    <t xml:space="preserve">22/08/24 23:30</t>
  </si>
  <si>
    <t xml:space="preserve">596</t>
  </si>
  <si>
    <t xml:space="preserve">TRẦN THỊ MẠNH</t>
  </si>
  <si>
    <t xml:space="preserve">23/08/24 12:19</t>
  </si>
  <si>
    <t xml:space="preserve">23/08/24 14:20</t>
  </si>
  <si>
    <t xml:space="preserve">599</t>
  </si>
  <si>
    <t xml:space="preserve">Nguyễn Hữu Khánh</t>
  </si>
  <si>
    <t xml:space="preserve">21/08/24 13:25</t>
  </si>
  <si>
    <t xml:space="preserve">24/08/24 08:08</t>
  </si>
  <si>
    <t xml:space="preserve">587</t>
  </si>
  <si>
    <t xml:space="preserve">ADAMOS COSTAS</t>
  </si>
  <si>
    <t xml:space="preserve">21/08/24 17:47</t>
  </si>
  <si>
    <t xml:space="preserve">24/08/24 09:36</t>
  </si>
  <si>
    <t xml:space="preserve">589</t>
  </si>
  <si>
    <t xml:space="preserve">MANOTHAM SCOTT PRASEUTHSIN</t>
  </si>
  <si>
    <t xml:space="preserve">21/08/24 17:48</t>
  </si>
  <si>
    <t xml:space="preserve">24/08/24 10:10</t>
  </si>
  <si>
    <t xml:space="preserve">590</t>
  </si>
  <si>
    <t xml:space="preserve">TẠ THỊ NHƯ TIÊN</t>
  </si>
  <si>
    <t xml:space="preserve">22/08/24 17:00</t>
  </si>
  <si>
    <t xml:space="preserve">24/08/24 11:00</t>
  </si>
  <si>
    <t xml:space="preserve">595</t>
  </si>
  <si>
    <t xml:space="preserve">HUỲNH QUỐC HUY</t>
  </si>
  <si>
    <t xml:space="preserve">24/08/24 01:22</t>
  </si>
  <si>
    <t xml:space="preserve">ĐỖ GIA LINH THẢO</t>
  </si>
  <si>
    <t xml:space="preserve">24/08/24 11:35</t>
  </si>
  <si>
    <t xml:space="preserve">24/08/24 15:30</t>
  </si>
  <si>
    <t xml:space="preserve">605</t>
  </si>
  <si>
    <t xml:space="preserve">21/08/24 13:26</t>
  </si>
  <si>
    <t xml:space="preserve">25/08/24 08:05</t>
  </si>
  <si>
    <t xml:space="preserve">586</t>
  </si>
  <si>
    <t xml:space="preserve">23/08/24 21:53</t>
  </si>
  <si>
    <t xml:space="preserve">Quý</t>
  </si>
  <si>
    <t xml:space="preserve">24/08/24 21:07</t>
  </si>
  <si>
    <t xml:space="preserve">600</t>
  </si>
  <si>
    <t xml:space="preserve">DƯƠNG GIA BẢO</t>
  </si>
  <si>
    <t xml:space="preserve">24/08/24 14:47</t>
  </si>
  <si>
    <t xml:space="preserve">25/08/24 08:06</t>
  </si>
  <si>
    <t xml:space="preserve">607</t>
  </si>
  <si>
    <t xml:space="preserve">Trần Hữu Chiến</t>
  </si>
  <si>
    <t xml:space="preserve">24/08/24 17:01</t>
  </si>
  <si>
    <t xml:space="preserve">SỬ NGUYỄN HẢI YẾN</t>
  </si>
  <si>
    <t xml:space="preserve">24/08/24 14:12</t>
  </si>
  <si>
    <t xml:space="preserve">25/08/24 08:44</t>
  </si>
  <si>
    <t xml:space="preserve">604</t>
  </si>
  <si>
    <t xml:space="preserve">Nguyễn Thị Uyên Phương</t>
  </si>
  <si>
    <t xml:space="preserve">24/08/24 18:17</t>
  </si>
  <si>
    <t xml:space="preserve">25/08/24 10:10</t>
  </si>
  <si>
    <t xml:space="preserve">610</t>
  </si>
  <si>
    <t xml:space="preserve">609</t>
  </si>
  <si>
    <t xml:space="preserve">Nguyễn Thị Hồng Phượng</t>
  </si>
  <si>
    <t xml:space="preserve">24/08/24 17:34</t>
  </si>
  <si>
    <t xml:space="preserve">26/08/24 08:25</t>
  </si>
  <si>
    <t xml:space="preserve">608</t>
  </si>
  <si>
    <t xml:space="preserve">Đặng Trung Nguyên</t>
  </si>
  <si>
    <t xml:space="preserve">25/08/24 13:53</t>
  </si>
  <si>
    <t xml:space="preserve">616</t>
  </si>
  <si>
    <t xml:space="preserve">Amit Kumar</t>
  </si>
  <si>
    <t xml:space="preserve">25/08/24 09:38</t>
  </si>
  <si>
    <t xml:space="preserve">26/08/24 08:37</t>
  </si>
  <si>
    <t xml:space="preserve">615</t>
  </si>
  <si>
    <t xml:space="preserve">Nguyễn Tiến Hà</t>
  </si>
  <si>
    <t xml:space="preserve">16/08/24 17:26</t>
  </si>
  <si>
    <t xml:space="preserve">26/08/24 10:58</t>
  </si>
  <si>
    <t xml:space="preserve">559</t>
  </si>
  <si>
    <t xml:space="preserve">NGUYỄN THỊ PHI NHƯNG</t>
  </si>
  <si>
    <t xml:space="preserve">25/08/24 09:22</t>
  </si>
  <si>
    <t xml:space="preserve">26/08/24 14:33</t>
  </si>
  <si>
    <t xml:space="preserve">614</t>
  </si>
  <si>
    <t xml:space="preserve">469</t>
  </si>
  <si>
    <t xml:space="preserve">Soh Elisha Daniel</t>
  </si>
  <si>
    <t xml:space="preserve">22/08/24 15:57</t>
  </si>
  <si>
    <t xml:space="preserve">26/08/24 14:47</t>
  </si>
  <si>
    <t xml:space="preserve">565</t>
  </si>
  <si>
    <t xml:space="preserve">HM3B28H9DM_LDCB1F</t>
  </si>
  <si>
    <t xml:space="preserve">Nguyễn Vinh Quang</t>
  </si>
  <si>
    <t xml:space="preserve">26/08/24 15:38</t>
  </si>
  <si>
    <t xml:space="preserve">26/08/24 17:30</t>
  </si>
  <si>
    <t xml:space="preserve">627</t>
  </si>
  <si>
    <t xml:space="preserve">26/08/24 15:01</t>
  </si>
  <si>
    <t xml:space="preserve">27/08/24 11:00</t>
  </si>
  <si>
    <t xml:space="preserve">626</t>
  </si>
  <si>
    <t xml:space="preserve">25/08/24 23:26</t>
  </si>
  <si>
    <t xml:space="preserve">27/08/24 16:25</t>
  </si>
  <si>
    <t xml:space="preserve">624</t>
  </si>
  <si>
    <t xml:space="preserve">529</t>
  </si>
  <si>
    <t xml:space="preserve">Trương Công Mỹ</t>
  </si>
  <si>
    <t xml:space="preserve">27/08/24 21:30</t>
  </si>
  <si>
    <t xml:space="preserve">28/08/24 08:09</t>
  </si>
  <si>
    <t xml:space="preserve">635</t>
  </si>
  <si>
    <t xml:space="preserve">mo fangkun</t>
  </si>
  <si>
    <t xml:space="preserve">26/08/24 23:00</t>
  </si>
  <si>
    <t xml:space="preserve">630</t>
  </si>
  <si>
    <t xml:space="preserve">308243931_LDCB1F</t>
  </si>
  <si>
    <t xml:space="preserve">Angier Tim</t>
  </si>
  <si>
    <t xml:space="preserve">27/08/24 14:44</t>
  </si>
  <si>
    <t xml:space="preserve">28/08/24 08:10</t>
  </si>
  <si>
    <t xml:space="preserve">631</t>
  </si>
  <si>
    <t xml:space="preserve">HMYXCB2K4D_LDCB1F</t>
  </si>
  <si>
    <t xml:space="preserve">Hồng nhung</t>
  </si>
  <si>
    <t xml:space="preserve">27/08/24 17:28</t>
  </si>
  <si>
    <t xml:space="preserve">28/08/24 10:48</t>
  </si>
  <si>
    <t xml:space="preserve">632</t>
  </si>
  <si>
    <t xml:space="preserve">TRÂM</t>
  </si>
  <si>
    <t xml:space="preserve">26/08/24 18:24</t>
  </si>
  <si>
    <t xml:space="preserve">28/08/24 11:00</t>
  </si>
  <si>
    <t xml:space="preserve">628</t>
  </si>
  <si>
    <t xml:space="preserve">527</t>
  </si>
  <si>
    <t xml:space="preserve">Trịnh Quốc Mạnh</t>
  </si>
  <si>
    <t xml:space="preserve">27/08/24 16:51</t>
  </si>
  <si>
    <t xml:space="preserve">633</t>
  </si>
  <si>
    <t xml:space="preserve">Thảo Nguyên</t>
  </si>
  <si>
    <t xml:space="preserve">27/08/24 13:23</t>
  </si>
  <si>
    <t xml:space="preserve">29/08/24 11:00</t>
  </si>
  <si>
    <t xml:space="preserve">546</t>
  </si>
  <si>
    <t xml:space="preserve">SEOL YEONGUK</t>
  </si>
  <si>
    <t xml:space="preserve">25/08/24 14:42</t>
  </si>
  <si>
    <t xml:space="preserve">619</t>
  </si>
  <si>
    <t xml:space="preserve">JEONG GUANGJUN</t>
  </si>
  <si>
    <t xml:space="preserve">25/08/24 15:02</t>
  </si>
  <si>
    <t xml:space="preserve">621</t>
  </si>
  <si>
    <t xml:space="preserve">AN JUNGWON</t>
  </si>
  <si>
    <t xml:space="preserve">25/08/24 15:10</t>
  </si>
  <si>
    <t xml:space="preserve">623</t>
  </si>
  <si>
    <t xml:space="preserve">MCCORMICK MADISON RAE</t>
  </si>
  <si>
    <t xml:space="preserve">28/08/24 20:34</t>
  </si>
  <si>
    <t xml:space="preserve">625</t>
  </si>
  <si>
    <t xml:space="preserve">HMMY9J9Y33_LDCB1F</t>
  </si>
  <si>
    <t xml:space="preserve">You Young Sang</t>
  </si>
  <si>
    <t xml:space="preserve">29/08/24 11:10</t>
  </si>
  <si>
    <t xml:space="preserve">618</t>
  </si>
  <si>
    <t xml:space="preserve">LEE JAEWOONG</t>
  </si>
  <si>
    <t xml:space="preserve">620</t>
  </si>
  <si>
    <t xml:space="preserve">NGUYỄN VIỆT QUANG</t>
  </si>
  <si>
    <t xml:space="preserve">28/08/24 19:54</t>
  </si>
  <si>
    <t xml:space="preserve">30/08/24 08:05</t>
  </si>
  <si>
    <t xml:space="preserve">638</t>
  </si>
  <si>
    <t xml:space="preserve">LEE YUJIN</t>
  </si>
  <si>
    <t xml:space="preserve">622</t>
  </si>
  <si>
    <t xml:space="preserve">Đặng Chu Thao</t>
  </si>
  <si>
    <t xml:space="preserve">29/08/24 17:53</t>
  </si>
  <si>
    <t xml:space="preserve">30/08/24 08:06</t>
  </si>
  <si>
    <t xml:space="preserve">641</t>
  </si>
  <si>
    <t xml:space="preserve">Liu Xiaojian</t>
  </si>
  <si>
    <t xml:space="preserve">29/08/24 13:41</t>
  </si>
  <si>
    <t xml:space="preserve">30/08/24 10:52</t>
  </si>
  <si>
    <t xml:space="preserve">639</t>
  </si>
  <si>
    <t xml:space="preserve">1349323616_LDCB1F</t>
  </si>
  <si>
    <t xml:space="preserve">TRẦN HỒNG NGỌC</t>
  </si>
  <si>
    <t xml:space="preserve">28/08/24 13:46</t>
  </si>
  <si>
    <t xml:space="preserve">30/08/24 11:00</t>
  </si>
  <si>
    <t xml:space="preserve">634</t>
  </si>
  <si>
    <t xml:space="preserve">Vòng Sau Phình</t>
  </si>
  <si>
    <t xml:space="preserve">30/08/24 17:43</t>
  </si>
  <si>
    <t xml:space="preserve">31/08/24 10:05</t>
  </si>
  <si>
    <t xml:space="preserve">645</t>
  </si>
  <si>
    <t xml:space="preserve">494</t>
  </si>
  <si>
    <t xml:space="preserve">Kim Honggi</t>
  </si>
  <si>
    <t xml:space="preserve">29/08/24 16:27</t>
  </si>
  <si>
    <t xml:space="preserve">592</t>
  </si>
  <si>
    <t xml:space="preserve">31/08/24 11:00</t>
  </si>
  <si>
    <t xml:space="preserve">30/08/24 18:41</t>
  </si>
  <si>
    <t xml:space="preserve">547</t>
  </si>
  <si>
    <t xml:space="preserve">30/08/24 19:40</t>
  </si>
  <si>
    <t xml:space="preserve">611</t>
  </si>
  <si>
    <t xml:space="preserve">Perez Garcia</t>
  </si>
  <si>
    <t xml:space="preserve">29/08/24 19:45</t>
  </si>
  <si>
    <t xml:space="preserve">01/09/24 08:19</t>
  </si>
  <si>
    <t xml:space="preserve">642</t>
  </si>
  <si>
    <t xml:space="preserve">530</t>
  </si>
  <si>
    <t xml:space="preserve"> Phạm Nguyễn Minh Ngọc</t>
  </si>
  <si>
    <t xml:space="preserve">31/08/24 14:31</t>
  </si>
  <si>
    <t xml:space="preserve">636</t>
  </si>
  <si>
    <t xml:space="preserve">72482083183</t>
  </si>
  <si>
    <t xml:space="preserve">30/08/24 17:04</t>
  </si>
  <si>
    <t xml:space="preserve">01/09/24 11:00</t>
  </si>
  <si>
    <t xml:space="preserve">644</t>
  </si>
  <si>
    <t xml:space="preserve">BÙI THỊ NGỌC DIỄM</t>
  </si>
  <si>
    <t xml:space="preserve">31/08/24 16:10</t>
  </si>
  <si>
    <t xml:space="preserve">654</t>
  </si>
  <si>
    <t xml:space="preserve">Ho yung han</t>
  </si>
  <si>
    <t xml:space="preserve">30/08/24 14:03</t>
  </si>
  <si>
    <t xml:space="preserve">01/09/24 11:16</t>
  </si>
  <si>
    <t xml:space="preserve">1327359692_LDCB1F</t>
  </si>
  <si>
    <t xml:space="preserve">31/08/24 22:28</t>
  </si>
  <si>
    <t xml:space="preserve">01/09/24 14:12</t>
  </si>
  <si>
    <t xml:space="preserve">655</t>
  </si>
  <si>
    <t xml:space="preserve">pham Trinh</t>
  </si>
  <si>
    <t xml:space="preserve">02/09/24 00:00</t>
  </si>
  <si>
    <t xml:space="preserve">02/09/24 09:47</t>
  </si>
  <si>
    <t xml:space="preserve">659</t>
  </si>
  <si>
    <t xml:space="preserve">4953937155_LDCB1F</t>
  </si>
  <si>
    <t xml:space="preserve">Tiêu Ngọc Hằng</t>
  </si>
  <si>
    <t xml:space="preserve">31/08/24 07:54</t>
  </si>
  <si>
    <t xml:space="preserve">02/09/24 10:41</t>
  </si>
  <si>
    <t xml:space="preserve">650</t>
  </si>
  <si>
    <t xml:space="preserve">Le Nguyen Son Tuyen</t>
  </si>
  <si>
    <t xml:space="preserve">01/09/24 14:11</t>
  </si>
  <si>
    <t xml:space="preserve">02/09/24 14:52</t>
  </si>
  <si>
    <t xml:space="preserve">646</t>
  </si>
  <si>
    <t xml:space="preserve">Tang Zhensheng</t>
  </si>
  <si>
    <t xml:space="preserve">649</t>
  </si>
  <si>
    <t xml:space="preserve">Zhou Junxuan</t>
  </si>
  <si>
    <t xml:space="preserve">648</t>
  </si>
  <si>
    <t xml:space="preserve">Hồng Kỳ</t>
  </si>
  <si>
    <t xml:space="preserve">02/09/24 15:21</t>
  </si>
  <si>
    <t xml:space="preserve">02/09/24 17:30</t>
  </si>
  <si>
    <t xml:space="preserve">662</t>
  </si>
  <si>
    <t xml:space="preserve">Xu Xiaohui</t>
  </si>
  <si>
    <t xml:space="preserve">02/09/24 18:00</t>
  </si>
  <si>
    <t xml:space="preserve">647</t>
  </si>
  <si>
    <t xml:space="preserve">Zhou Shiyue</t>
  </si>
  <si>
    <t xml:space="preserve">02/09/24 13:22</t>
  </si>
  <si>
    <t xml:space="preserve">03/09/24 10:54</t>
  </si>
  <si>
    <t xml:space="preserve">661</t>
  </si>
  <si>
    <t xml:space="preserve">555</t>
  </si>
  <si>
    <t xml:space="preserve">Nguyễn Thị Thu Hào</t>
  </si>
  <si>
    <t xml:space="preserve">02/09/24 18:43</t>
  </si>
  <si>
    <t xml:space="preserve">664</t>
  </si>
  <si>
    <t xml:space="preserve">Nguyễn Anh Tuấn</t>
  </si>
  <si>
    <t xml:space="preserve">31/08/24 14:03</t>
  </si>
  <si>
    <t xml:space="preserve">03/09/24 23:00</t>
  </si>
  <si>
    <t xml:space="preserve">643</t>
  </si>
  <si>
    <t xml:space="preserve">UM HEEKWON</t>
  </si>
  <si>
    <t xml:space="preserve">31/08/24 12:44</t>
  </si>
  <si>
    <t xml:space="preserve">05/09/24 10:14</t>
  </si>
  <si>
    <t xml:space="preserve">653</t>
  </si>
  <si>
    <t xml:space="preserve">03/09/24 14:35</t>
  </si>
  <si>
    <t xml:space="preserve">667</t>
  </si>
  <si>
    <t xml:space="preserve">COHEN SCOTT HARRISON</t>
  </si>
  <si>
    <t xml:space="preserve">03/09/24 14:01</t>
  </si>
  <si>
    <t xml:space="preserve">05/09/24 10:52</t>
  </si>
  <si>
    <t xml:space="preserve">660</t>
  </si>
  <si>
    <t xml:space="preserve">4767123248_LDCB1F</t>
  </si>
  <si>
    <t xml:space="preserve">03/09/24 14:36</t>
  </si>
  <si>
    <t xml:space="preserve">05/09/24 11:00</t>
  </si>
  <si>
    <t xml:space="preserve">668</t>
  </si>
  <si>
    <t xml:space="preserve">04/09/24 22:55</t>
  </si>
  <si>
    <t xml:space="preserve">05/09/24 12:29</t>
  </si>
  <si>
    <t xml:space="preserve">670</t>
  </si>
  <si>
    <t xml:space="preserve">26/08/24 14:01</t>
  </si>
  <si>
    <t xml:space="preserve">06/09/24 11:00</t>
  </si>
  <si>
    <t xml:space="preserve">617</t>
  </si>
  <si>
    <t xml:space="preserve">Nguyễn Ánh</t>
  </si>
  <si>
    <t xml:space="preserve">05/09/24 15:30</t>
  </si>
  <si>
    <t xml:space="preserve">06/09/24 11:27</t>
  </si>
  <si>
    <t xml:space="preserve">658</t>
  </si>
  <si>
    <t xml:space="preserve">HMRJNPF5MP_LDCB1F</t>
  </si>
  <si>
    <t xml:space="preserve">Khúc Thị Thanh Vân</t>
  </si>
  <si>
    <t xml:space="preserve">05/09/24 22:59</t>
  </si>
  <si>
    <t xml:space="preserve">06/09/24 15:22</t>
  </si>
  <si>
    <t xml:space="preserve">673</t>
  </si>
  <si>
    <t xml:space="preserve">674</t>
  </si>
  <si>
    <t xml:space="preserve">nguyen thi truc linh</t>
  </si>
  <si>
    <t xml:space="preserve">07/09/24 03:27</t>
  </si>
  <si>
    <t xml:space="preserve">07/09/24 08:46</t>
  </si>
  <si>
    <t xml:space="preserve">678</t>
  </si>
  <si>
    <t xml:space="preserve">4848486293_LDCB1F</t>
  </si>
  <si>
    <t xml:space="preserve">554</t>
  </si>
  <si>
    <t xml:space="preserve">Jindamongkon,Jarupa</t>
  </si>
  <si>
    <t xml:space="preserve">06/09/24 16:09</t>
  </si>
  <si>
    <t xml:space="preserve">07/09/24 09:33</t>
  </si>
  <si>
    <t xml:space="preserve">663</t>
  </si>
  <si>
    <t xml:space="preserve">Lưu Khắc Vương</t>
  </si>
  <si>
    <t xml:space="preserve">07/09/24 18:40</t>
  </si>
  <si>
    <t xml:space="preserve">08/09/24 10:00</t>
  </si>
  <si>
    <t xml:space="preserve">684</t>
  </si>
  <si>
    <t xml:space="preserve">Trương Trần Gia Hân</t>
  </si>
  <si>
    <t xml:space="preserve">07/09/24 18:24</t>
  </si>
  <si>
    <t xml:space="preserve">676</t>
  </si>
  <si>
    <t xml:space="preserve">Bảo Quỳnh</t>
  </si>
  <si>
    <t xml:space="preserve">06/09/24 22:06</t>
  </si>
  <si>
    <t xml:space="preserve">08/09/24 11:00</t>
  </si>
  <si>
    <t xml:space="preserve">666</t>
  </si>
  <si>
    <t xml:space="preserve">Trần Thị Thúy Vi</t>
  </si>
  <si>
    <t xml:space="preserve">06/09/24 16:34</t>
  </si>
  <si>
    <t xml:space="preserve">677</t>
  </si>
  <si>
    <t xml:space="preserve">Huyền</t>
  </si>
  <si>
    <t xml:space="preserve">07/09/24 15:41</t>
  </si>
  <si>
    <t xml:space="preserve">682</t>
  </si>
  <si>
    <t xml:space="preserve">Anh Thi</t>
  </si>
  <si>
    <t xml:space="preserve">08/09/24 12:27</t>
  </si>
  <si>
    <t xml:space="preserve">08/09/24 14:37</t>
  </si>
  <si>
    <t xml:space="preserve">687</t>
  </si>
  <si>
    <t xml:space="preserve">Trịnh Trọng</t>
  </si>
  <si>
    <t xml:space="preserve">08/09/24 15:27</t>
  </si>
  <si>
    <t xml:space="preserve">686</t>
  </si>
  <si>
    <t xml:space="preserve">576</t>
  </si>
  <si>
    <t xml:space="preserve">Phú</t>
  </si>
  <si>
    <t xml:space="preserve">08/09/24 18:15</t>
  </si>
  <si>
    <t xml:space="preserve">689</t>
  </si>
  <si>
    <t xml:space="preserve">Truc Le</t>
  </si>
  <si>
    <t xml:space="preserve">04/09/24 15:50</t>
  </si>
  <si>
    <t xml:space="preserve">09/09/24 11:00</t>
  </si>
  <si>
    <t xml:space="preserve">637</t>
  </si>
  <si>
    <t xml:space="preserve">Quỳnhh Như</t>
  </si>
  <si>
    <t xml:space="preserve">06/09/24 23:36</t>
  </si>
  <si>
    <t xml:space="preserve">671</t>
  </si>
  <si>
    <t xml:space="preserve">07/09/24 14:36</t>
  </si>
  <si>
    <t xml:space="preserve">672</t>
  </si>
  <si>
    <t xml:space="preserve">SIMPON ADAM</t>
  </si>
  <si>
    <t xml:space="preserve">08/09/24 15:46</t>
  </si>
  <si>
    <t xml:space="preserve">688</t>
  </si>
  <si>
    <t xml:space="preserve">572</t>
  </si>
  <si>
    <t xml:space="preserve">Phan Văn Long</t>
  </si>
  <si>
    <t xml:space="preserve">08/09/24 14:50</t>
  </si>
  <si>
    <t xml:space="preserve">10/09/24 08:35</t>
  </si>
  <si>
    <t xml:space="preserve">685</t>
  </si>
  <si>
    <t xml:space="preserve">Speh Simon</t>
  </si>
  <si>
    <t xml:space="preserve">06/09/24 14:10</t>
  </si>
  <si>
    <t xml:space="preserve">10/09/24 09:30</t>
  </si>
  <si>
    <t xml:space="preserve">675</t>
  </si>
  <si>
    <t xml:space="preserve">Mai Md Apbul</t>
  </si>
  <si>
    <t xml:space="preserve">09/09/24 22:52</t>
  </si>
  <si>
    <t xml:space="preserve">10/09/24 11:00</t>
  </si>
  <si>
    <t xml:space="preserve">694</t>
  </si>
  <si>
    <t xml:space="preserve">Lê Thị Bích Nhạn</t>
  </si>
  <si>
    <t xml:space="preserve">09/09/24 14:23</t>
  </si>
  <si>
    <t xml:space="preserve">10/09/24 15:05</t>
  </si>
  <si>
    <t xml:space="preserve">692</t>
  </si>
  <si>
    <t xml:space="preserve">Kim Trà</t>
  </si>
  <si>
    <t xml:space="preserve">11/09/24 12:25</t>
  </si>
  <si>
    <t xml:space="preserve">11/09/24 13:35</t>
  </si>
  <si>
    <t xml:space="preserve">08/09/24 16:40</t>
  </si>
  <si>
    <t xml:space="preserve">11/09/24 18:00</t>
  </si>
  <si>
    <t xml:space="preserve">683</t>
  </si>
  <si>
    <t xml:space="preserve">09/09/24 17:37</t>
  </si>
  <si>
    <t xml:space="preserve">695</t>
  </si>
  <si>
    <t xml:space="preserve">585</t>
  </si>
  <si>
    <t xml:space="preserve">Nguyễn Lê Hòng Minh</t>
  </si>
  <si>
    <t xml:space="preserve">11/09/24 13:56</t>
  </si>
  <si>
    <t xml:space="preserve">12/09/24 10:29</t>
  </si>
  <si>
    <t xml:space="preserve">698</t>
  </si>
  <si>
    <t xml:space="preserve">Hoàng Thị Kim Liên</t>
  </si>
  <si>
    <t xml:space="preserve">12/09/24 11:00</t>
  </si>
  <si>
    <t xml:space="preserve">690</t>
  </si>
  <si>
    <t xml:space="preserve">Widayat Anang</t>
  </si>
  <si>
    <t xml:space="preserve">10/09/24 14:47</t>
  </si>
  <si>
    <t xml:space="preserve">12/09/24 11:21</t>
  </si>
  <si>
    <t xml:space="preserve">679</t>
  </si>
  <si>
    <t xml:space="preserve">4433692047_LDCB1F</t>
  </si>
  <si>
    <t xml:space="preserve">Anang Widayat</t>
  </si>
  <si>
    <t xml:space="preserve">680</t>
  </si>
  <si>
    <t xml:space="preserve">Chris Bryson</t>
  </si>
  <si>
    <t xml:space="preserve">12/09/24 16:33</t>
  </si>
  <si>
    <t xml:space="preserve">13/09/24 09:27</t>
  </si>
  <si>
    <t xml:space="preserve">4581412411_LDCB1F</t>
  </si>
  <si>
    <t xml:space="preserve">Hoàng Ngọc Linh</t>
  </si>
  <si>
    <t xml:space="preserve">13/09/24 19:23</t>
  </si>
  <si>
    <t xml:space="preserve">13/09/24 21:22</t>
  </si>
  <si>
    <t xml:space="preserve">720</t>
  </si>
  <si>
    <t xml:space="preserve">Fauzaiah Binti</t>
  </si>
  <si>
    <t xml:space="preserve">13/09/24 22:12</t>
  </si>
  <si>
    <t xml:space="preserve">13/09/24 22:14</t>
  </si>
  <si>
    <t xml:space="preserve">722</t>
  </si>
  <si>
    <t xml:space="preserve">Lê Hoàng Yến</t>
  </si>
  <si>
    <t xml:space="preserve">12/09/24 14:03</t>
  </si>
  <si>
    <t xml:space="preserve">14/09/24 08:59</t>
  </si>
  <si>
    <t xml:space="preserve">693</t>
  </si>
  <si>
    <t xml:space="preserve">Hà Thị Giang Phương</t>
  </si>
  <si>
    <t xml:space="preserve">13/09/24 20:15</t>
  </si>
  <si>
    <t xml:space="preserve">14/09/24 11:00</t>
  </si>
  <si>
    <t xml:space="preserve">721</t>
  </si>
  <si>
    <t xml:space="preserve">Chung Homok</t>
  </si>
  <si>
    <t xml:space="preserve">14/09/24 12:39</t>
  </si>
  <si>
    <t xml:space="preserve">14/09/24 15:45</t>
  </si>
  <si>
    <t xml:space="preserve">723</t>
  </si>
  <si>
    <t xml:space="preserve">1367569000_LDCB1F</t>
  </si>
  <si>
    <t xml:space="preserve">Provost Ryan</t>
  </si>
  <si>
    <t xml:space="preserve">14/09/24 14:44</t>
  </si>
  <si>
    <t xml:space="preserve">15/09/24 08:33</t>
  </si>
  <si>
    <t xml:space="preserve">725</t>
  </si>
  <si>
    <t xml:space="preserve">4941868798_LDCB1F</t>
  </si>
  <si>
    <t xml:space="preserve">556</t>
  </si>
  <si>
    <t xml:space="preserve">Nguyen Quang Phuc</t>
  </si>
  <si>
    <t xml:space="preserve">14/09/24 10:39</t>
  </si>
  <si>
    <t xml:space="preserve">15/09/24 08:36</t>
  </si>
  <si>
    <t xml:space="preserve">665</t>
  </si>
  <si>
    <t xml:space="preserve">86489917430</t>
  </si>
  <si>
    <t xml:space="preserve">598</t>
  </si>
  <si>
    <t xml:space="preserve">Pham Phu</t>
  </si>
  <si>
    <t xml:space="preserve">14/09/24 17:40</t>
  </si>
  <si>
    <t xml:space="preserve">15/09/24 08:47</t>
  </si>
  <si>
    <t xml:space="preserve">718</t>
  </si>
  <si>
    <t xml:space="preserve">4712220759_LDCB1F</t>
  </si>
  <si>
    <t xml:space="preserve">14/09/24 16:41</t>
  </si>
  <si>
    <t xml:space="preserve">15/09/24 10:45</t>
  </si>
  <si>
    <t xml:space="preserve">724</t>
  </si>
  <si>
    <t xml:space="preserve">14/09/24 17:36</t>
  </si>
  <si>
    <t xml:space="preserve">15/09/24 10:51</t>
  </si>
  <si>
    <t xml:space="preserve">699</t>
  </si>
  <si>
    <t xml:space="preserve">Trần Phú Cường</t>
  </si>
  <si>
    <t xml:space="preserve">13/09/24 20:40</t>
  </si>
  <si>
    <t xml:space="preserve">15/09/24 11:00</t>
  </si>
  <si>
    <t xml:space="preserve">681</t>
  </si>
  <si>
    <t xml:space="preserve">315991987_LDCB1F</t>
  </si>
  <si>
    <t xml:space="preserve">Trần Thị Mỹ Duyên</t>
  </si>
  <si>
    <t xml:space="preserve">14/09/24 14:30</t>
  </si>
  <si>
    <t xml:space="preserve">700</t>
  </si>
  <si>
    <t xml:space="preserve">14/09/24 14:09</t>
  </si>
  <si>
    <t xml:space="preserve">701</t>
  </si>
  <si>
    <t xml:space="preserve">606</t>
  </si>
  <si>
    <t xml:space="preserve">Phạm Hữu Cảnh</t>
  </si>
  <si>
    <t xml:space="preserve">14/09/24 16:38</t>
  </si>
  <si>
    <t xml:space="preserve">726</t>
  </si>
  <si>
    <t xml:space="preserve">15/09/24 11:10</t>
  </si>
  <si>
    <t xml:space="preserve">15/09/24 15:03</t>
  </si>
  <si>
    <t xml:space="preserve">729</t>
  </si>
  <si>
    <t xml:space="preserve">584</t>
  </si>
  <si>
    <t xml:space="preserve">Nguyễn Thị Thảo Trâm</t>
  </si>
  <si>
    <t xml:space="preserve">15/09/24 14:02</t>
  </si>
  <si>
    <t xml:space="preserve">16/09/24 11:00</t>
  </si>
  <si>
    <t xml:space="preserve">697</t>
  </si>
  <si>
    <t xml:space="preserve">Vũ Thị Thu Hằng</t>
  </si>
  <si>
    <t xml:space="preserve">11/09/24 13:55</t>
  </si>
  <si>
    <t xml:space="preserve">704</t>
  </si>
  <si>
    <t xml:space="preserve">597</t>
  </si>
  <si>
    <t xml:space="preserve">Urry Renee</t>
  </si>
  <si>
    <t xml:space="preserve">14/09/24 19:09</t>
  </si>
  <si>
    <t xml:space="preserve">716</t>
  </si>
  <si>
    <t xml:space="preserve">HMEND3BET3_LDCB1F</t>
  </si>
  <si>
    <t xml:space="preserve">Smethurst Richard John</t>
  </si>
  <si>
    <t xml:space="preserve">15/09/24 22:53</t>
  </si>
  <si>
    <t xml:space="preserve">731</t>
  </si>
  <si>
    <t xml:space="preserve">321307882_LDCB1F</t>
  </si>
  <si>
    <t xml:space="preserve">594</t>
  </si>
  <si>
    <t xml:space="preserve">Dwyer Louise</t>
  </si>
  <si>
    <t xml:space="preserve">13/09/24 23:11</t>
  </si>
  <si>
    <t xml:space="preserve">17/09/24 08:28</t>
  </si>
  <si>
    <t xml:space="preserve">711</t>
  </si>
  <si>
    <t xml:space="preserve">HM2XA39QTC_LDCB1F</t>
  </si>
  <si>
    <t xml:space="preserve">Lê Văn Thu</t>
  </si>
  <si>
    <t xml:space="preserve">11/09/24 20:43</t>
  </si>
  <si>
    <t xml:space="preserve">17/09/24 11:00</t>
  </si>
  <si>
    <t xml:space="preserve">706</t>
  </si>
  <si>
    <t xml:space="preserve">jianying huang</t>
  </si>
  <si>
    <t xml:space="preserve">12/09/24 14:02</t>
  </si>
  <si>
    <t xml:space="preserve">709</t>
  </si>
  <si>
    <t xml:space="preserve">Lê Thanh</t>
  </si>
  <si>
    <t xml:space="preserve">710</t>
  </si>
  <si>
    <t xml:space="preserve">Eom Junho</t>
  </si>
  <si>
    <t xml:space="preserve">13/09/24 17:50</t>
  </si>
  <si>
    <t xml:space="preserve">17/09/24 11:34</t>
  </si>
  <si>
    <t xml:space="preserve">717</t>
  </si>
  <si>
    <t xml:space="preserve">HM4HY3RKWW_LDCB1F</t>
  </si>
  <si>
    <t xml:space="preserve">Mạnh</t>
  </si>
  <si>
    <t xml:space="preserve">17/09/24 11:35</t>
  </si>
  <si>
    <t xml:space="preserve">17/09/24 12:59</t>
  </si>
  <si>
    <t xml:space="preserve">735</t>
  </si>
  <si>
    <t xml:space="preserve">613</t>
  </si>
  <si>
    <t xml:space="preserve">A RC</t>
  </si>
  <si>
    <t xml:space="preserve">17/09/24 08:40</t>
  </si>
  <si>
    <t xml:space="preserve">17/09/24 14:07</t>
  </si>
  <si>
    <t xml:space="preserve">733</t>
  </si>
  <si>
    <t xml:space="preserve">1370709940_LDCB1F</t>
  </si>
  <si>
    <t xml:space="preserve">đạt</t>
  </si>
  <si>
    <t xml:space="preserve">17/09/24 15:04</t>
  </si>
  <si>
    <t xml:space="preserve">17/09/24 17:00</t>
  </si>
  <si>
    <t xml:space="preserve">736</t>
  </si>
  <si>
    <t xml:space="preserve">Nguyễn Trọng Đạt</t>
  </si>
  <si>
    <t xml:space="preserve">17/09/24 18:00</t>
  </si>
  <si>
    <t xml:space="preserve">705</t>
  </si>
  <si>
    <t xml:space="preserve">Nguyễn Sỹ Đồng</t>
  </si>
  <si>
    <t xml:space="preserve">707</t>
  </si>
  <si>
    <t xml:space="preserve">Henry Bao</t>
  </si>
  <si>
    <t xml:space="preserve">17/09/24 20:15</t>
  </si>
  <si>
    <t xml:space="preserve">18/09/24 08:12</t>
  </si>
  <si>
    <t xml:space="preserve">739</t>
  </si>
  <si>
    <t xml:space="preserve"> Kim Ngân</t>
  </si>
  <si>
    <t xml:space="preserve">14/09/24 12:38</t>
  </si>
  <si>
    <t xml:space="preserve">18/09/24 11:00</t>
  </si>
  <si>
    <t xml:space="preserve">708</t>
  </si>
  <si>
    <t xml:space="preserve">70390763805</t>
  </si>
  <si>
    <t xml:space="preserve">Violeta Gress</t>
  </si>
  <si>
    <t xml:space="preserve">18/09/24 15:18</t>
  </si>
  <si>
    <t xml:space="preserve">19/09/24 09:15</t>
  </si>
  <si>
    <t xml:space="preserve">730</t>
  </si>
  <si>
    <t xml:space="preserve">HM5XNWCYH9_LDCB1F</t>
  </si>
  <si>
    <t xml:space="preserve">18/09/24 15:17</t>
  </si>
  <si>
    <t xml:space="preserve">19/09/24 09:29</t>
  </si>
  <si>
    <t xml:space="preserve">742</t>
  </si>
  <si>
    <t xml:space="preserve">nơi</t>
  </si>
  <si>
    <t xml:space="preserve">19/09/24 13:44</t>
  </si>
  <si>
    <t xml:space="preserve">19/09/24 16:30</t>
  </si>
  <si>
    <t xml:space="preserve">753</t>
  </si>
  <si>
    <t xml:space="preserve">Lê Duy Thành</t>
  </si>
  <si>
    <t xml:space="preserve">19/09/24 14:27</t>
  </si>
  <si>
    <t xml:space="preserve">20/09/24 10:27</t>
  </si>
  <si>
    <t xml:space="preserve">727</t>
  </si>
  <si>
    <t xml:space="preserve">Anh Trung CAKV</t>
  </si>
  <si>
    <t xml:space="preserve">18/09/24 22:58</t>
  </si>
  <si>
    <t xml:space="preserve">20/09/24 10:31</t>
  </si>
  <si>
    <t xml:space="preserve">750</t>
  </si>
  <si>
    <t xml:space="preserve">Phan Tuấn Dũng</t>
  </si>
  <si>
    <t xml:space="preserve">19/09/24 15:47</t>
  </si>
  <si>
    <t xml:space="preserve">20/09/24 10:32</t>
  </si>
  <si>
    <t xml:space="preserve">754</t>
  </si>
  <si>
    <t xml:space="preserve">612</t>
  </si>
  <si>
    <t xml:space="preserve">Thanh Trúc</t>
  </si>
  <si>
    <t xml:space="preserve">18/09/24 15:16</t>
  </si>
  <si>
    <t xml:space="preserve">20/09/24 11:00</t>
  </si>
  <si>
    <t xml:space="preserve">732</t>
  </si>
  <si>
    <t xml:space="preserve">Huỳnh Trọng Khánh</t>
  </si>
  <si>
    <t xml:space="preserve">20/09/24 10:00</t>
  </si>
  <si>
    <t xml:space="preserve">20/09/24 15:06</t>
  </si>
  <si>
    <t xml:space="preserve">756</t>
  </si>
  <si>
    <t xml:space="preserve">LI JIAN</t>
  </si>
  <si>
    <t xml:space="preserve">20/09/24 23:43</t>
  </si>
  <si>
    <t xml:space="preserve">21/09/24 09:20</t>
  </si>
  <si>
    <t xml:space="preserve">757</t>
  </si>
  <si>
    <t xml:space="preserve">324601275_LDCB1F</t>
  </si>
  <si>
    <t xml:space="preserve">Nguyen Tuan Anh</t>
  </si>
  <si>
    <t xml:space="preserve">18/09/24 23:01</t>
  </si>
  <si>
    <t xml:space="preserve">21/09/24 11:00</t>
  </si>
  <si>
    <t xml:space="preserve">744</t>
  </si>
  <si>
    <t xml:space="preserve">323234172_LDCB1F</t>
  </si>
  <si>
    <t xml:space="preserve">Budagjan David</t>
  </si>
  <si>
    <t xml:space="preserve">745</t>
  </si>
  <si>
    <t xml:space="preserve">323234177_LDCB1F</t>
  </si>
  <si>
    <t xml:space="preserve">19/09/24 14:26</t>
  </si>
  <si>
    <t xml:space="preserve">749</t>
  </si>
  <si>
    <t xml:space="preserve">751</t>
  </si>
  <si>
    <t xml:space="preserve">640</t>
  </si>
  <si>
    <t xml:space="preserve">Chau Tran - 100135</t>
  </si>
  <si>
    <t xml:space="preserve">21/09/24 15:04</t>
  </si>
  <si>
    <t xml:space="preserve">21/09/24 17:00</t>
  </si>
  <si>
    <t xml:space="preserve">764</t>
  </si>
  <si>
    <t xml:space="preserve">Hương</t>
  </si>
  <si>
    <t xml:space="preserve">21/09/24 14:04</t>
  </si>
  <si>
    <t xml:space="preserve">22/09/24 11:00</t>
  </si>
  <si>
    <t xml:space="preserve">719</t>
  </si>
  <si>
    <t xml:space="preserve">Thành Đạt Trần</t>
  </si>
  <si>
    <t xml:space="preserve">21/09/24 13:42</t>
  </si>
  <si>
    <t xml:space="preserve">734</t>
  </si>
  <si>
    <t xml:space="preserve">1370775200_LDCB1F</t>
  </si>
  <si>
    <t xml:space="preserve">20/09/24 14:03</t>
  </si>
  <si>
    <t xml:space="preserve">740</t>
  </si>
  <si>
    <t xml:space="preserve">Vicky Dang</t>
  </si>
  <si>
    <t xml:space="preserve">741</t>
  </si>
  <si>
    <t xml:space="preserve">Thiên Kỳ</t>
  </si>
  <si>
    <t xml:space="preserve">758</t>
  </si>
  <si>
    <t xml:space="preserve">Au Tom</t>
  </si>
  <si>
    <t xml:space="preserve">21/09/24 14:07</t>
  </si>
  <si>
    <t xml:space="preserve">22/09/24 11:05</t>
  </si>
  <si>
    <t xml:space="preserve">760</t>
  </si>
  <si>
    <t xml:space="preserve">325089841_LDCB1F</t>
  </si>
  <si>
    <t xml:space="preserve">Iida Tsutomu</t>
  </si>
  <si>
    <t xml:space="preserve">22/09/24 11:07</t>
  </si>
  <si>
    <t xml:space="preserve">761</t>
  </si>
  <si>
    <t xml:space="preserve">HM8JQXSEQF_LDCB1F</t>
  </si>
  <si>
    <t xml:space="preserve">Kóng Ngọc Huệ</t>
  </si>
  <si>
    <t xml:space="preserve">22/09/24 14:57</t>
  </si>
  <si>
    <t xml:space="preserve">22/09/24 16:56</t>
  </si>
  <si>
    <t xml:space="preserve">770</t>
  </si>
  <si>
    <t xml:space="preserve">Jang Won Lim</t>
  </si>
  <si>
    <t xml:space="preserve">21/09/24 17:44</t>
  </si>
  <si>
    <t xml:space="preserve">23/09/24 10:31</t>
  </si>
  <si>
    <t xml:space="preserve">765</t>
  </si>
  <si>
    <t xml:space="preserve">Romanzi Giampaolo</t>
  </si>
  <si>
    <t xml:space="preserve">22/09/24 12:15</t>
  </si>
  <si>
    <t xml:space="preserve">23/09/24 10:32</t>
  </si>
  <si>
    <t xml:space="preserve">768</t>
  </si>
  <si>
    <t xml:space="preserve">4658307209_LDCB1F</t>
  </si>
  <si>
    <t xml:space="preserve">Bartel Ross</t>
  </si>
  <si>
    <t xml:space="preserve">19/09/24 18:26</t>
  </si>
  <si>
    <t xml:space="preserve">23/09/24 11:00</t>
  </si>
  <si>
    <t xml:space="preserve">755</t>
  </si>
  <si>
    <t xml:space="preserve">4927986755_LDCB1F</t>
  </si>
  <si>
    <t xml:space="preserve">762</t>
  </si>
  <si>
    <t xml:space="preserve">763</t>
  </si>
  <si>
    <t xml:space="preserve">KIM JINHO</t>
  </si>
  <si>
    <t xml:space="preserve">20/09/24 14:02</t>
  </si>
  <si>
    <t xml:space="preserve">24/09/24 11:30</t>
  </si>
  <si>
    <t xml:space="preserve">713</t>
  </si>
  <si>
    <t xml:space="preserve">4679385411_LDCB1F</t>
  </si>
  <si>
    <t xml:space="preserve">JINHO KIM</t>
  </si>
  <si>
    <t xml:space="preserve">714</t>
  </si>
  <si>
    <t xml:space="preserve">KATO SHUN</t>
  </si>
  <si>
    <t xml:space="preserve">23/09/24 14:05</t>
  </si>
  <si>
    <t xml:space="preserve">766</t>
  </si>
  <si>
    <t xml:space="preserve">1375850848_LDCB1F</t>
  </si>
  <si>
    <t xml:space="preserve">Đoàn Ngọc Hân</t>
  </si>
  <si>
    <t xml:space="preserve">22/09/24 14:12</t>
  </si>
  <si>
    <t xml:space="preserve">24/09/24 13:50</t>
  </si>
  <si>
    <t xml:space="preserve">769</t>
  </si>
  <si>
    <t xml:space="preserve"> Wayne Denton Watts</t>
  </si>
  <si>
    <t xml:space="preserve">20/09/24 11:03</t>
  </si>
  <si>
    <t xml:space="preserve">25/09/24 10:10</t>
  </si>
  <si>
    <t xml:space="preserve">748</t>
  </si>
  <si>
    <t xml:space="preserve">60853171009</t>
  </si>
  <si>
    <t xml:space="preserve">652</t>
  </si>
  <si>
    <t xml:space="preserve">Phương Thảo</t>
  </si>
  <si>
    <t xml:space="preserve">24/09/24 15:22</t>
  </si>
  <si>
    <t xml:space="preserve">777</t>
  </si>
  <si>
    <t xml:space="preserve">52849865028</t>
  </si>
  <si>
    <t xml:space="preserve">Draken Dark</t>
  </si>
  <si>
    <t xml:space="preserve">25/09/24 10:11</t>
  </si>
  <si>
    <t xml:space="preserve">773</t>
  </si>
  <si>
    <t xml:space="preserve">24/09/24 15:21</t>
  </si>
  <si>
    <t xml:space="preserve">774</t>
  </si>
  <si>
    <t xml:space="preserve">Huyen Nguyen</t>
  </si>
  <si>
    <t xml:space="preserve">25/09/24 11:00</t>
  </si>
  <si>
    <t xml:space="preserve">759</t>
  </si>
  <si>
    <t xml:space="preserve">775</t>
  </si>
  <si>
    <t xml:space="preserve">Minh Nguyen Dinh</t>
  </si>
  <si>
    <t xml:space="preserve">25/09/24 10:08</t>
  </si>
  <si>
    <t xml:space="preserve">25/09/24 12:45</t>
  </si>
  <si>
    <t xml:space="preserve">783</t>
  </si>
  <si>
    <t xml:space="preserve">quỳnh</t>
  </si>
  <si>
    <t xml:space="preserve">25/09/24 13:43</t>
  </si>
  <si>
    <t xml:space="preserve">25/09/24 15:35</t>
  </si>
  <si>
    <t xml:space="preserve">788</t>
  </si>
  <si>
    <t xml:space="preserve">Anh Lựu</t>
  </si>
  <si>
    <t xml:space="preserve">25/09/24 18:26</t>
  </si>
  <si>
    <t xml:space="preserve">25/09/24 20:30</t>
  </si>
  <si>
    <t xml:space="preserve">792</t>
  </si>
  <si>
    <t xml:space="preserve">Trần Ngọc hân</t>
  </si>
  <si>
    <t xml:space="preserve">25/09/24 18:58</t>
  </si>
  <si>
    <t xml:space="preserve">26/09/24 07:42</t>
  </si>
  <si>
    <t xml:space="preserve">791</t>
  </si>
  <si>
    <t xml:space="preserve">khách</t>
  </si>
  <si>
    <t xml:space="preserve">25/09/24 13:56</t>
  </si>
  <si>
    <t xml:space="preserve">26/09/24 10:05</t>
  </si>
  <si>
    <t xml:space="preserve">786</t>
  </si>
  <si>
    <t xml:space="preserve">Phạm văn tuấn</t>
  </si>
  <si>
    <t xml:space="preserve">25/09/24 12:47</t>
  </si>
  <si>
    <t xml:space="preserve">26/09/24 10:23</t>
  </si>
  <si>
    <t xml:space="preserve">784</t>
  </si>
  <si>
    <t xml:space="preserve">an thư</t>
  </si>
  <si>
    <t xml:space="preserve">25/09/24 12:56</t>
  </si>
  <si>
    <t xml:space="preserve">26/09/24 11:00</t>
  </si>
  <si>
    <t xml:space="preserve">787</t>
  </si>
  <si>
    <t xml:space="preserve">Nhung</t>
  </si>
  <si>
    <t xml:space="preserve">26/09/24 11:38</t>
  </si>
  <si>
    <t xml:space="preserve">27/09/24 11:00</t>
  </si>
  <si>
    <t xml:space="preserve">794</t>
  </si>
  <si>
    <t xml:space="preserve">bui tien</t>
  </si>
  <si>
    <t xml:space="preserve">26/09/24 15:54</t>
  </si>
  <si>
    <t xml:space="preserve">27/09/24 11:19</t>
  </si>
  <si>
    <t xml:space="preserve">800</t>
  </si>
  <si>
    <t xml:space="preserve">4319803723_LDCB1F</t>
  </si>
  <si>
    <t xml:space="preserve">27/09/24 11:22</t>
  </si>
  <si>
    <t xml:space="preserve">27/09/24 12:41</t>
  </si>
  <si>
    <t xml:space="preserve">805</t>
  </si>
  <si>
    <t xml:space="preserve">669</t>
  </si>
  <si>
    <t xml:space="preserve">DoanTran Chi</t>
  </si>
  <si>
    <t xml:space="preserve">27/09/24 16:41</t>
  </si>
  <si>
    <t xml:space="preserve">28/09/24 08:34</t>
  </si>
  <si>
    <t xml:space="preserve">797</t>
  </si>
  <si>
    <t xml:space="preserve">4615647096_LDCB1F</t>
  </si>
  <si>
    <t xml:space="preserve">phương</t>
  </si>
  <si>
    <t xml:space="preserve">27/09/24 13:35</t>
  </si>
  <si>
    <t xml:space="preserve">28/09/24 08:50</t>
  </si>
  <si>
    <t xml:space="preserve">807</t>
  </si>
  <si>
    <t xml:space="preserve">651</t>
  </si>
  <si>
    <t xml:space="preserve">Smethurst Richard</t>
  </si>
  <si>
    <t xml:space="preserve">27/09/24 18:11</t>
  </si>
  <si>
    <t xml:space="preserve">28/09/24 11:00</t>
  </si>
  <si>
    <t xml:space="preserve">776</t>
  </si>
  <si>
    <t xml:space="preserve">4432070727_LDCB1F</t>
  </si>
  <si>
    <t xml:space="preserve">Murphy craig anthony</t>
  </si>
  <si>
    <t xml:space="preserve">27/09/24 18:22</t>
  </si>
  <si>
    <t xml:space="preserve">778</t>
  </si>
  <si>
    <t xml:space="preserve">4414163633_LDCB1F</t>
  </si>
  <si>
    <t xml:space="preserve">craig anthony Murphy</t>
  </si>
  <si>
    <t xml:space="preserve">779</t>
  </si>
  <si>
    <t xml:space="preserve">Robinson Ray</t>
  </si>
  <si>
    <t xml:space="preserve">26/09/24 17:06</t>
  </si>
  <si>
    <t xml:space="preserve">801</t>
  </si>
  <si>
    <t xml:space="preserve">328496991_LDCB1F</t>
  </si>
  <si>
    <t xml:space="preserve">Vi Gam</t>
  </si>
  <si>
    <t xml:space="preserve">27/09/24 20:35</t>
  </si>
  <si>
    <t xml:space="preserve">813</t>
  </si>
  <si>
    <t xml:space="preserve">4901582522_LDCB1F</t>
  </si>
  <si>
    <t xml:space="preserve">NGUYỄN THUỴ ANH VÂN</t>
  </si>
  <si>
    <t xml:space="preserve">28/09/24 03:13</t>
  </si>
  <si>
    <t xml:space="preserve">817</t>
  </si>
  <si>
    <t xml:space="preserve"> Nguyen Van Hau</t>
  </si>
  <si>
    <t xml:space="preserve">28/09/24 16:22</t>
  </si>
  <si>
    <t xml:space="preserve">29/09/24 08:12</t>
  </si>
  <si>
    <t xml:space="preserve">796</t>
  </si>
  <si>
    <t xml:space="preserve">28849814405</t>
  </si>
  <si>
    <t xml:space="preserve">lucien</t>
  </si>
  <si>
    <t xml:space="preserve">27/09/24 13:34</t>
  </si>
  <si>
    <t xml:space="preserve">804</t>
  </si>
  <si>
    <t xml:space="preserve">Ly Lê Hương</t>
  </si>
  <si>
    <t xml:space="preserve">28/09/24 14:15</t>
  </si>
  <si>
    <t xml:space="preserve">818</t>
  </si>
  <si>
    <t xml:space="preserve">4904054071_LDCB1F</t>
  </si>
  <si>
    <t xml:space="preserve">MacKinnon Greg</t>
  </si>
  <si>
    <t xml:space="preserve">27/09/24 12:01</t>
  </si>
  <si>
    <t xml:space="preserve">29/09/24 09:44</t>
  </si>
  <si>
    <t xml:space="preserve">793</t>
  </si>
  <si>
    <t xml:space="preserve">4896851865_LDCB1F</t>
  </si>
  <si>
    <t xml:space="preserve">Phạm Tuyết Lụa</t>
  </si>
  <si>
    <t xml:space="preserve">29/09/24 10:17</t>
  </si>
  <si>
    <t xml:space="preserve">820</t>
  </si>
  <si>
    <t xml:space="preserve">Mason Lee</t>
  </si>
  <si>
    <t xml:space="preserve">27/09/24 15:29</t>
  </si>
  <si>
    <t xml:space="preserve">29/09/24 11:00</t>
  </si>
  <si>
    <t xml:space="preserve">809</t>
  </si>
  <si>
    <t xml:space="preserve">duyên lê</t>
  </si>
  <si>
    <t xml:space="preserve">27/09/24 16:43</t>
  </si>
  <si>
    <t xml:space="preserve">811</t>
  </si>
  <si>
    <t xml:space="preserve">GO GO</t>
  </si>
  <si>
    <t xml:space="preserve">28/09/24 18:23</t>
  </si>
  <si>
    <t xml:space="preserve">814</t>
  </si>
  <si>
    <t xml:space="preserve">329305984_LDCB1F</t>
  </si>
  <si>
    <t xml:space="preserve">691</t>
  </si>
  <si>
    <t xml:space="preserve">Anh Minh</t>
  </si>
  <si>
    <t xml:space="preserve">28/09/24 14:13</t>
  </si>
  <si>
    <t xml:space="preserve">819</t>
  </si>
  <si>
    <t xml:space="preserve">1383385300_LDCB1F</t>
  </si>
  <si>
    <t xml:space="preserve">Chen Yu Kun</t>
  </si>
  <si>
    <t xml:space="preserve">28/09/24 17:27</t>
  </si>
  <si>
    <t xml:space="preserve">821</t>
  </si>
  <si>
    <t xml:space="preserve">Lương Thị Hà</t>
  </si>
  <si>
    <t xml:space="preserve">27/09/24 21:49</t>
  </si>
  <si>
    <t xml:space="preserve">29/09/24 11:17</t>
  </si>
  <si>
    <t xml:space="preserve">798</t>
  </si>
  <si>
    <t xml:space="preserve">4757960334_LDCB1F</t>
  </si>
  <si>
    <t xml:space="preserve">Ngocc Uyen</t>
  </si>
  <si>
    <t xml:space="preserve">27/09/24 18:48</t>
  </si>
  <si>
    <t xml:space="preserve">30/09/24 07:35</t>
  </si>
  <si>
    <t xml:space="preserve">810</t>
  </si>
  <si>
    <t xml:space="preserve">Solans Ruiz gabriel</t>
  </si>
  <si>
    <t xml:space="preserve">28/09/24 14:28</t>
  </si>
  <si>
    <t xml:space="preserve">30/09/24 07:36</t>
  </si>
  <si>
    <t xml:space="preserve">806</t>
  </si>
  <si>
    <t xml:space="preserve">4874878962_LDCB1F</t>
  </si>
  <si>
    <t xml:space="preserve">SHIRAKAWA AKI</t>
  </si>
  <si>
    <t xml:space="preserve">26/09/24 12:31</t>
  </si>
  <si>
    <t xml:space="preserve">30/09/24 10:06</t>
  </si>
  <si>
    <t xml:space="preserve">795</t>
  </si>
  <si>
    <t xml:space="preserve">4431104256_LDCB1F</t>
  </si>
  <si>
    <t xml:space="preserve">Huy-Loan</t>
  </si>
  <si>
    <t xml:space="preserve">30/09/24 11:00</t>
  </si>
  <si>
    <t xml:space="preserve">808</t>
  </si>
  <si>
    <t xml:space="preserve">Halliwell Bruce</t>
  </si>
  <si>
    <t xml:space="preserve">27/09/24 13:25</t>
  </si>
  <si>
    <t xml:space="preserve">30/09/24 11:24</t>
  </si>
  <si>
    <t xml:space="preserve">799</t>
  </si>
  <si>
    <t xml:space="preserve">HMATMKA2Y9_LDCB1F</t>
  </si>
  <si>
    <t xml:space="preserve">Cahill Robert</t>
  </si>
  <si>
    <t xml:space="preserve">25/09/24 17:59</t>
  </si>
  <si>
    <t xml:space="preserve">30/09/24 12:26</t>
  </si>
  <si>
    <t xml:space="preserve">306202227_LDCB1F</t>
  </si>
  <si>
    <t xml:space="preserve">MB-53PNL</t>
  </si>
  <si>
    <t xml:space="preserve">01/09/24 17:26</t>
  </si>
  <si>
    <t xml:space="preserve">01/10/24 00:09</t>
  </si>
  <si>
    <t xml:space="preserve">657</t>
  </si>
  <si>
    <t xml:space="preserve">My Phung</t>
  </si>
  <si>
    <t xml:space="preserve">29/09/24 14:27</t>
  </si>
  <si>
    <t xml:space="preserve">01/10/24 11:00</t>
  </si>
  <si>
    <t xml:space="preserve">827</t>
  </si>
  <si>
    <t xml:space="preserve">30/09/24 11:44</t>
  </si>
  <si>
    <t xml:space="preserve">829</t>
  </si>
  <si>
    <t xml:space="preserve">Thúy</t>
  </si>
  <si>
    <t xml:space="preserve">01/10/24 15:33</t>
  </si>
  <si>
    <t xml:space="preserve">02/10/24 08:27</t>
  </si>
  <si>
    <t xml:space="preserve">833</t>
  </si>
  <si>
    <t xml:space="preserve">Nguyễn Thị Hoài Thương</t>
  </si>
  <si>
    <t xml:space="preserve">01/10/24 18:46</t>
  </si>
  <si>
    <t xml:space="preserve">834</t>
  </si>
  <si>
    <t xml:space="preserve">Hậu</t>
  </si>
  <si>
    <t xml:space="preserve">01/10/24 18:37</t>
  </si>
  <si>
    <t xml:space="preserve">02/10/24 08:28</t>
  </si>
  <si>
    <t xml:space="preserve">832</t>
  </si>
  <si>
    <t xml:space="preserve">Dương Thiên Vũ</t>
  </si>
  <si>
    <t xml:space="preserve">29/09/24 13:52</t>
  </si>
  <si>
    <t xml:space="preserve">02/10/24 09:13</t>
  </si>
  <si>
    <t xml:space="preserve">828</t>
  </si>
  <si>
    <t xml:space="preserve">Minh</t>
  </si>
  <si>
    <t xml:space="preserve">02/10/24 12:42</t>
  </si>
  <si>
    <t xml:space="preserve">02/10/24 15:14</t>
  </si>
  <si>
    <t xml:space="preserve">835</t>
  </si>
  <si>
    <t xml:space="preserve">TRẦN LÊ LỰU</t>
  </si>
  <si>
    <t xml:space="preserve">02/10/24 20:08</t>
  </si>
  <si>
    <t xml:space="preserve">02/10/24 20:47</t>
  </si>
  <si>
    <t xml:space="preserve">837</t>
  </si>
  <si>
    <t xml:space="preserve">TRẦN QUỐC BẢO</t>
  </si>
  <si>
    <t xml:space="preserve">03/10/24 08:51</t>
  </si>
  <si>
    <t xml:space="preserve">03/10/24 09:19</t>
  </si>
  <si>
    <t xml:space="preserve">838</t>
  </si>
  <si>
    <t xml:space="preserve">Win Win Hla</t>
  </si>
  <si>
    <t xml:space="preserve">01/10/24 17:39</t>
  </si>
  <si>
    <t xml:space="preserve">03/10/24 11:00</t>
  </si>
  <si>
    <t xml:space="preserve">825</t>
  </si>
  <si>
    <t xml:space="preserve">Sơn Thị Lệ Hoa</t>
  </si>
  <si>
    <t xml:space="preserve">03/10/24 17:11</t>
  </si>
  <si>
    <t xml:space="preserve">04/10/24 12:00</t>
  </si>
  <si>
    <t xml:space="preserve">842</t>
  </si>
  <si>
    <t xml:space="preserve">Kim</t>
  </si>
  <si>
    <t xml:space="preserve">04/10/24 11:17</t>
  </si>
  <si>
    <t xml:space="preserve">04/10/24 12:31</t>
  </si>
  <si>
    <t xml:space="preserve">847</t>
  </si>
  <si>
    <t xml:space="preserve">Thảo Quyên</t>
  </si>
  <si>
    <t xml:space="preserve">04/10/24 12:28</t>
  </si>
  <si>
    <t xml:space="preserve">04/10/24 17:16</t>
  </si>
  <si>
    <t xml:space="preserve">846</t>
  </si>
  <si>
    <t xml:space="preserve">Liên</t>
  </si>
  <si>
    <t xml:space="preserve">04/10/24 19:39</t>
  </si>
  <si>
    <t xml:space="preserve">06/10/24 08:02</t>
  </si>
  <si>
    <t xml:space="preserve">845</t>
  </si>
  <si>
    <t xml:space="preserve">Twist Sam</t>
  </si>
  <si>
    <t xml:space="preserve">05/10/24 22:40</t>
  </si>
  <si>
    <t xml:space="preserve">06/10/24 11:34</t>
  </si>
  <si>
    <t xml:space="preserve">852</t>
  </si>
  <si>
    <t xml:space="preserve">4948155750_LDCB1F</t>
  </si>
  <si>
    <t xml:space="preserve">715</t>
  </si>
  <si>
    <t xml:space="preserve">Hoàng Thị Anh</t>
  </si>
  <si>
    <t xml:space="preserve">04/10/24 14:00</t>
  </si>
  <si>
    <t xml:space="preserve">07/10/24 08:27</t>
  </si>
  <si>
    <t xml:space="preserve">844</t>
  </si>
  <si>
    <t xml:space="preserve">심 재기</t>
  </si>
  <si>
    <t xml:space="preserve">05/10/24 23:12</t>
  </si>
  <si>
    <t xml:space="preserve">07/10/24 11:00</t>
  </si>
  <si>
    <t xml:space="preserve">747</t>
  </si>
  <si>
    <t xml:space="preserve">HMXEATCNZX_LDCB1F</t>
  </si>
  <si>
    <t xml:space="preserve">Hoàng Thanh Ngân Nguyễn</t>
  </si>
  <si>
    <t xml:space="preserve">06/10/24 14:20</t>
  </si>
  <si>
    <t xml:space="preserve">07/10/24 12:41</t>
  </si>
  <si>
    <t xml:space="preserve">853</t>
  </si>
  <si>
    <t xml:space="preserve">334914404_LDCB1F</t>
  </si>
  <si>
    <t xml:space="preserve">LAM BAN</t>
  </si>
  <si>
    <t xml:space="preserve">07/10/24 14:02</t>
  </si>
  <si>
    <t xml:space="preserve">543</t>
  </si>
  <si>
    <t xml:space="preserve">771185210_LDCB1F</t>
  </si>
  <si>
    <t xml:space="preserve">Hằng Nguyễn</t>
  </si>
  <si>
    <t xml:space="preserve">04/10/24 16:08</t>
  </si>
  <si>
    <t xml:space="preserve">08/10/24 11:00</t>
  </si>
  <si>
    <t xml:space="preserve">848</t>
  </si>
  <si>
    <t xml:space="preserve">728</t>
  </si>
  <si>
    <t xml:space="preserve">Dyer Patrick</t>
  </si>
  <si>
    <t xml:space="preserve">08/10/24 08:46</t>
  </si>
  <si>
    <t xml:space="preserve">08/10/24 12:37</t>
  </si>
  <si>
    <t xml:space="preserve">859</t>
  </si>
  <si>
    <t xml:space="preserve">HMDADEHN4B_LDCB1F</t>
  </si>
  <si>
    <t xml:space="preserve">Người in: hnhathcm@gmail.com     Ngày in: 8/10/2024 6:15:47 PM     Powered by ezCloud.vn</t>
  </si>
  <si>
    <t xml:space="preserve">A26 PNL</t>
  </si>
  <si>
    <t xml:space="preserve">May 2024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</si>
  <si>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</si>
  <si>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</si>
  <si>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</si>
  <si>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</si>
  <si>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</si>
  <si>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</si>
  <si>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</si>
  <si>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No</t>
  </si>
  <si>
    <t xml:space="preserve">Room type</t>
  </si>
  <si>
    <t xml:space="preserve">Room No</t>
  </si>
  <si>
    <t xml:space="preserve">Capacity (pax)</t>
  </si>
  <si>
    <t xml:space="preserve">Booked_Web</t>
  </si>
  <si>
    <t xml:space="preserve">Booked_WK</t>
  </si>
  <si>
    <t xml:space="preserve">Lock</t>
  </si>
  <si>
    <t xml:space="preserve">Room sold by</t>
  </si>
  <si>
    <t xml:space="preserve">Room Empty</t>
  </si>
  <si>
    <t xml:space="preserve">Room Analyst</t>
  </si>
  <si>
    <t xml:space="preserve">TOTAL CAPACITY</t>
  </si>
  <si>
    <t xml:space="preserve">Day</t>
  </si>
  <si>
    <t xml:space="preserve">Week</t>
  </si>
  <si>
    <t xml:space="preserve">Month</t>
  </si>
  <si>
    <t xml:space="preserve">Room Type</t>
  </si>
  <si>
    <t xml:space="preserve">Room sold</t>
  </si>
  <si>
    <t xml:space="preserve">Occupancy</t>
  </si>
  <si>
    <t xml:space="preserve">Total room:</t>
  </si>
  <si>
    <t xml:space="preserve">6/5 - 12/5</t>
  </si>
  <si>
    <t xml:space="preserve">May</t>
  </si>
  <si>
    <t xml:space="preserve">DELUXE - PNL</t>
  </si>
  <si>
    <t xml:space="preserve">MB - PNL</t>
  </si>
  <si>
    <t xml:space="preserve">Room sold by channel</t>
  </si>
  <si>
    <t xml:space="preserve">Monthly Analyst</t>
  </si>
  <si>
    <t xml:space="preserve">Code</t>
  </si>
  <si>
    <t xml:space="preserve">Source</t>
  </si>
  <si>
    <t xml:space="preserve">Total Month</t>
  </si>
  <si>
    <t xml:space="preserve">Booking</t>
  </si>
  <si>
    <t xml:space="preserve">Agoda</t>
  </si>
  <si>
    <t xml:space="preserve">Airbnb</t>
  </si>
  <si>
    <t xml:space="preserve">Staff</t>
  </si>
  <si>
    <t xml:space="preserve">A26 web</t>
  </si>
  <si>
    <t xml:space="preserve">Facebook</t>
  </si>
  <si>
    <t xml:space="preserve">Expedia</t>
  </si>
  <si>
    <t xml:space="preserve">Traveloka</t>
  </si>
  <si>
    <t xml:space="preserve">Travel Agent</t>
  </si>
  <si>
    <t xml:space="preserve">Klook</t>
  </si>
  <si>
    <t xml:space="preserve">Booked_BK</t>
  </si>
  <si>
    <t xml:space="preserve">Booked_Ag</t>
  </si>
  <si>
    <t xml:space="preserve">Booked_BNB</t>
  </si>
  <si>
    <t xml:space="preserve">Booked_FB</t>
  </si>
  <si>
    <t xml:space="preserve">Booked_Ex</t>
  </si>
  <si>
    <t xml:space="preserve">Booked_LK</t>
  </si>
  <si>
    <t xml:space="preserve">Booked_KL</t>
  </si>
  <si>
    <t xml:space="preserve">Booked_CTV
Booked_CTV</t>
  </si>
  <si>
    <t xml:space="preserve">ONLINE
ONLINE</t>
  </si>
  <si>
    <t xml:space="preserve">Booked_CTV
ONLINE</t>
  </si>
  <si>
    <t xml:space="preserve">Direct</t>
  </si>
  <si>
    <t xml:space="preserve">6/6 - 12/6</t>
  </si>
  <si>
    <t xml:space="preserve">June</t>
  </si>
  <si>
    <t xml:space="preserve">Online</t>
  </si>
  <si>
    <t xml:space="preserve">July 2024</t>
  </si>
  <si>
    <t xml:space="preserve">6/7 - 12/7</t>
  </si>
  <si>
    <t xml:space="preserve">July</t>
  </si>
  <si>
    <t xml:space="preserve">August 2024</t>
  </si>
  <si>
    <t xml:space="preserve">6/8 - 12/8</t>
  </si>
  <si>
    <t xml:space="preserve">August</t>
  </si>
  <si>
    <t xml:space="preserve">September 2024</t>
  </si>
  <si>
    <t xml:space="preserve">Direct
Direct</t>
  </si>
  <si>
    <t xml:space="preserve">ONLINE
Booked_CTV</t>
  </si>
  <si>
    <t xml:space="preserve">ONLINE
OTA</t>
  </si>
  <si>
    <t xml:space="preserve">6/9 - 12/9</t>
  </si>
  <si>
    <t xml:space="preserve">September</t>
  </si>
  <si>
    <t xml:space="preserve">October 2024</t>
  </si>
  <si>
    <t xml:space="preserve">6/10 - 12/10</t>
  </si>
  <si>
    <t xml:space="preserve">October</t>
  </si>
  <si>
    <t xml:space="preserve">Channel Analyst</t>
  </si>
  <si>
    <t xml:space="preserve">PNL Occupancy</t>
  </si>
  <si>
    <t xml:space="preserve">Thang 6</t>
  </si>
  <si>
    <t xml:space="preserve">Inhouse: 86</t>
  </si>
  <si>
    <t xml:space="preserve">Agoda 31</t>
  </si>
  <si>
    <t xml:space="preserve">Inhouse 48</t>
  </si>
  <si>
    <t xml:space="preserve">Agoda 14</t>
  </si>
  <si>
    <t xml:space="preserve">Inhouse 22</t>
  </si>
  <si>
    <t xml:space="preserve">Agoda 5</t>
  </si>
  <si>
    <t xml:space="preserve">Inhouse 69</t>
  </si>
  <si>
    <t xml:space="preserve">Airbnb 19</t>
  </si>
  <si>
    <t xml:space="preserve">Airbnb: 2</t>
  </si>
  <si>
    <t xml:space="preserve">Booking 6</t>
  </si>
  <si>
    <t xml:space="preserve">Airbnb 6</t>
  </si>
  <si>
    <t xml:space="preserve">Booking 2</t>
  </si>
  <si>
    <t xml:space="preserve">Tháng 7</t>
  </si>
  <si>
    <t xml:space="preserve">Inhouse: 112</t>
  </si>
  <si>
    <t xml:space="preserve">Agoda: 42</t>
  </si>
  <si>
    <t xml:space="preserve">Inhouse: 66</t>
  </si>
  <si>
    <t xml:space="preserve">Agoda: 5</t>
  </si>
  <si>
    <t xml:space="preserve">Inhouse: 44</t>
  </si>
  <si>
    <t xml:space="preserve">Agoda: 3</t>
  </si>
  <si>
    <t xml:space="preserve">Inhouse: 119</t>
  </si>
  <si>
    <t xml:space="preserve">Agoda: 12</t>
  </si>
  <si>
    <t xml:space="preserve">Airbnb: 4</t>
  </si>
  <si>
    <t xml:space="preserve">Booking: 3</t>
  </si>
  <si>
    <t xml:space="preserve">Airbnb: 9</t>
  </si>
  <si>
    <t xml:space="preserve">Booking: 6</t>
  </si>
  <si>
    <t xml:space="preserve">Airbnb: 3</t>
  </si>
  <si>
    <t xml:space="preserve">Airbnb: 5</t>
  </si>
  <si>
    <t xml:space="preserve">Booking: 1</t>
  </si>
  <si>
    <t xml:space="preserve">Tháng 8</t>
  </si>
  <si>
    <t xml:space="preserve">Inhouse: 88</t>
  </si>
  <si>
    <t xml:space="preserve">Agoda: 14</t>
  </si>
  <si>
    <t xml:space="preserve">Agoda: 2</t>
  </si>
  <si>
    <t xml:space="preserve">Inhouse: 35</t>
  </si>
  <si>
    <t xml:space="preserve">Agoda: 4</t>
  </si>
  <si>
    <t xml:space="preserve">Inhouse: 52</t>
  </si>
  <si>
    <t xml:space="preserve">Booking: 7</t>
  </si>
  <si>
    <t xml:space="preserve">Airbnb: 7</t>
  </si>
  <si>
    <t xml:space="preserve">Klook: 3</t>
  </si>
  <si>
    <t xml:space="preserve">Expedia: 2</t>
  </si>
  <si>
    <t xml:space="preserve">Expedia: 10</t>
  </si>
  <si>
    <t xml:space="preserve">Tháng 9</t>
  </si>
  <si>
    <t xml:space="preserve">Inhouse: 75</t>
  </si>
  <si>
    <t xml:space="preserve">Inhouse: 37</t>
  </si>
  <si>
    <t xml:space="preserve">Agoda: 1</t>
  </si>
  <si>
    <t xml:space="preserve">Inhouse: 19</t>
  </si>
  <si>
    <t xml:space="preserve">Inhouse: 53</t>
  </si>
  <si>
    <t xml:space="preserve">Agoda: 0</t>
  </si>
  <si>
    <t xml:space="preserve">Airbnb: 1</t>
  </si>
  <si>
    <t xml:space="preserve">Booking: 22</t>
  </si>
  <si>
    <t xml:space="preserve">Airbnb: 0</t>
  </si>
  <si>
    <t xml:space="preserve">Booking: 4</t>
  </si>
  <si>
    <t xml:space="preserve">Airbnb: 13</t>
  </si>
  <si>
    <t xml:space="preserve">Booking: 9</t>
  </si>
  <si>
    <t xml:space="preserve">Expedia: 5</t>
  </si>
  <si>
    <t xml:space="preserve">Klook: 1</t>
  </si>
  <si>
    <t xml:space="preserve">Expedia: 4</t>
  </si>
  <si>
    <t xml:space="preserve">Expedia: 6</t>
  </si>
  <si>
    <t xml:space="preserve">Tháng 10</t>
  </si>
  <si>
    <t xml:space="preserve">Inhouse: 30</t>
  </si>
  <si>
    <t xml:space="preserve">Inhouse: 11</t>
  </si>
  <si>
    <t xml:space="preserve">Inhouse: 3</t>
  </si>
  <si>
    <t xml:space="preserve">Inhouse: 15</t>
  </si>
  <si>
    <t xml:space="preserve">Booking: 0</t>
  </si>
  <si>
    <t xml:space="preserve">Expedia: 8</t>
  </si>
  <si>
    <t xml:space="preserve">double trong ngày</t>
  </si>
  <si>
    <t xml:space="preserve">A26 Benthanh</t>
  </si>
  <si>
    <t xml:space="preserve">June 2024</t>
  </si>
  <si>
    <t xml:space="preserve">Room sold by Type</t>
  </si>
  <si>
    <t xml:space="preserve">c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</si>
</sst>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\ hh:mm"/>
    <numFmt numFmtId="166" formatCode="m/d/yyyy"/>
    <numFmt numFmtId="167" formatCode="#,##0"/>
    <numFmt numFmtId="168" formatCode="0.00"/>
    <numFmt numFmtId="169" formatCode="@"/>
    <numFmt numFmtId="170" formatCode="dd\ mmmm"/>
    <numFmt numFmtId="171" formatCode="d\ mmmm"/>
    <numFmt numFmtId="172" formatCode="0.00%"/>
    <numFmt numFmtId="173" formatCode="General"/>
    <numFmt numFmtId="174" formatCode="mmmm\ yyyy"/>
    <numFmt numFmtId="175" formatCode="mmm\ yy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b val="true"/>
      <sz val="22"/>
      <color rgb="FF000000"/>
      <name val="Times New Roman"/>
      <family val="1"/>
      <charset val="1"/>
    </font>
    <font>
      <sz val="11"/>
      <color rgb="FFFFFFFF"/>
      <name val="Times New Roman"/>
      <family val="1"/>
      <charset val="1"/>
    </font>
    <font>
      <sz val="11"/>
      <color rgb="FF33333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Noto Sans CJK SC"/>
      <family val="2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rgb="FF000000"/>
      <name val="Google Sans"/>
      <family val="0"/>
      <charset val="1"/>
    </font>
    <font>
      <sz val="11"/>
      <color rgb="FFFF0000"/>
      <name val="Calibri"/>
      <family val="2"/>
      <charset val="1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7A7A7A"/>
        <bgColor rgb="FF8E7CC3"/>
      </patternFill>
    </fill>
    <fill>
      <patternFill patternType="solid">
        <fgColor rgb="FFDFDFDF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FFF2CC"/>
        <bgColor rgb="FFFCE5CD"/>
      </patternFill>
    </fill>
    <fill>
      <patternFill patternType="solid">
        <fgColor rgb="FFF6B26B"/>
        <bgColor rgb="FFE6B8AF"/>
      </patternFill>
    </fill>
    <fill>
      <patternFill patternType="solid">
        <fgColor rgb="FF9FC5E8"/>
        <bgColor rgb="FFA4C2F4"/>
      </patternFill>
    </fill>
    <fill>
      <patternFill patternType="solid">
        <fgColor rgb="FF6D9EEB"/>
        <bgColor rgb="FF6FA8DC"/>
      </patternFill>
    </fill>
    <fill>
      <patternFill patternType="solid">
        <fgColor rgb="FF8E7CC3"/>
        <bgColor rgb="FF7A7A7A"/>
      </patternFill>
    </fill>
    <fill>
      <patternFill patternType="solid">
        <fgColor rgb="FFD9EAD3"/>
        <bgColor rgb="FFDFDFDF"/>
      </patternFill>
    </fill>
    <fill>
      <patternFill patternType="solid">
        <fgColor rgb="FFFFFFFF"/>
        <bgColor rgb="FFFFF2CC"/>
      </patternFill>
    </fill>
    <fill>
      <patternFill patternType="solid">
        <fgColor rgb="FFA4C2F4"/>
        <bgColor rgb="FF9FC5E8"/>
      </patternFill>
    </fill>
    <fill>
      <patternFill patternType="solid">
        <fgColor rgb="FFD0E0E3"/>
        <bgColor rgb="FFCFE2F3"/>
      </patternFill>
    </fill>
    <fill>
      <patternFill patternType="solid">
        <fgColor rgb="FFFCE5CD"/>
        <bgColor rgb="FFFFF2CC"/>
      </patternFill>
    </fill>
    <fill>
      <patternFill patternType="solid">
        <fgColor rgb="FFFFFF00"/>
        <bgColor rgb="FFFFD966"/>
      </patternFill>
    </fill>
    <fill>
      <patternFill patternType="solid">
        <fgColor rgb="FFCCCCCC"/>
        <bgColor rgb="FFD9D2E9"/>
      </patternFill>
    </fill>
    <fill>
      <patternFill patternType="solid">
        <fgColor rgb="FFC9DAF8"/>
        <bgColor rgb="FFCFE2F3"/>
      </patternFill>
    </fill>
    <fill>
      <patternFill patternType="solid">
        <fgColor rgb="FFD9D2E9"/>
        <bgColor rgb="FFD9D9D9"/>
      </patternFill>
    </fill>
    <fill>
      <patternFill patternType="solid">
        <fgColor rgb="FFF4CCCC"/>
        <bgColor rgb="FFEAD1DC"/>
      </patternFill>
    </fill>
    <fill>
      <patternFill patternType="solid">
        <fgColor rgb="FFD5A6BD"/>
        <bgColor rgb="FFE6B8AF"/>
      </patternFill>
    </fill>
    <fill>
      <patternFill patternType="solid">
        <fgColor rgb="FFE6B8AF"/>
        <bgColor rgb="FFD5A6BD"/>
      </patternFill>
    </fill>
    <fill>
      <patternFill patternType="solid">
        <fgColor rgb="FFFFD966"/>
        <bgColor rgb="FFFFE599"/>
      </patternFill>
    </fill>
    <fill>
      <patternFill patternType="solid">
        <fgColor rgb="FFEA9999"/>
        <bgColor rgb="FFD5A6BD"/>
      </patternFill>
    </fill>
    <fill>
      <patternFill patternType="solid">
        <fgColor rgb="FFD9D9D9"/>
        <bgColor rgb="FFDFDFDF"/>
      </patternFill>
    </fill>
    <fill>
      <patternFill patternType="solid">
        <fgColor rgb="FF76A5AF"/>
        <bgColor rgb="FF6FA8DC"/>
      </patternFill>
    </fill>
    <fill>
      <patternFill patternType="solid">
        <fgColor rgb="FFF9CB9C"/>
        <bgColor rgb="FFF4CCCC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CE5CD"/>
      </patternFill>
    </fill>
    <fill>
      <patternFill patternType="solid">
        <fgColor rgb="FFCC4125"/>
        <bgColor rgb="FFDD7E6B"/>
      </patternFill>
    </fill>
    <fill>
      <patternFill patternType="solid">
        <fgColor rgb="FF4A86E8"/>
        <bgColor rgb="FF6D9EEB"/>
      </patternFill>
    </fill>
    <fill>
      <patternFill patternType="solid">
        <fgColor rgb="FFE69138"/>
        <bgColor rgb="FFDD7E6B"/>
      </patternFill>
    </fill>
    <fill>
      <patternFill patternType="solid">
        <fgColor rgb="FFB7B7B7"/>
        <bgColor rgb="FFCCCCCC"/>
      </patternFill>
    </fill>
    <fill>
      <patternFill patternType="solid">
        <fgColor rgb="FFEAD1DC"/>
        <bgColor rgb="FFF4CCCC"/>
      </patternFill>
    </fill>
    <fill>
      <patternFill patternType="solid">
        <fgColor rgb="FFDD7E6B"/>
        <bgColor rgb="FFE69138"/>
      </patternFill>
    </fill>
    <fill>
      <patternFill patternType="solid">
        <fgColor rgb="FF6FA8DC"/>
        <bgColor rgb="FF6D9EEB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FDFD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6D9EEB"/>
          <bgColor rgb="FF000000"/>
        </patternFill>
      </fill>
    </dxf>
    <dxf>
      <fill>
        <patternFill patternType="solid">
          <fgColor rgb="FF8E7CC3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DFDFDF"/>
      <rgbColor rgb="FF0000FF"/>
      <rgbColor rgb="FFFFFF00"/>
      <rgbColor rgb="FFFF00FF"/>
      <rgbColor rgb="FFD9D9D9"/>
      <rgbColor rgb="FF800000"/>
      <rgbColor rgb="FF008000"/>
      <rgbColor rgb="FF000080"/>
      <rgbColor rgb="FFE6B8AF"/>
      <rgbColor rgb="FF800080"/>
      <rgbColor rgb="FF008080"/>
      <rgbColor rgb="FFB7B7B7"/>
      <rgbColor rgb="FF7A7A7A"/>
      <rgbColor rgb="FF6D9EEB"/>
      <rgbColor rgb="FFF4CCCC"/>
      <rgbColor rgb="FFFFF2CC"/>
      <rgbColor rgb="FFCFE2F3"/>
      <rgbColor rgb="FF660066"/>
      <rgbColor rgb="FFDD7E6B"/>
      <rgbColor rgb="FF0066CC"/>
      <rgbColor rgb="FFC9DAF8"/>
      <rgbColor rgb="FF000080"/>
      <rgbColor rgb="FFFF00FF"/>
      <rgbColor rgb="FFFCE5CD"/>
      <rgbColor rgb="FFD9D2E9"/>
      <rgbColor rgb="FF800080"/>
      <rgbColor rgb="FF800000"/>
      <rgbColor rgb="FF008080"/>
      <rgbColor rgb="FF0000FF"/>
      <rgbColor rgb="FFCCCCCC"/>
      <rgbColor rgb="FFD0E0E3"/>
      <rgbColor rgb="FFD9EAD3"/>
      <rgbColor rgb="FFFFE599"/>
      <rgbColor rgb="FF9FC5E8"/>
      <rgbColor rgb="FFEA9999"/>
      <rgbColor rgb="FFD5A6BD"/>
      <rgbColor rgb="FFF9CB9C"/>
      <rgbColor rgb="FF4A86E8"/>
      <rgbColor rgb="FF6FA8DC"/>
      <rgbColor rgb="FFB6D7A8"/>
      <rgbColor rgb="FFFFD966"/>
      <rgbColor rgb="FFE69138"/>
      <rgbColor rgb="FFF6B26B"/>
      <rgbColor rgb="FF8E7CC3"/>
      <rgbColor rgb="FF76A5AF"/>
      <rgbColor rgb="FF003366"/>
      <rgbColor rgb="FFA4C2F4"/>
      <rgbColor rgb="FF003300"/>
      <rgbColor rgb="FF333300"/>
      <rgbColor rgb="FFCC4125"/>
      <rgbColor rgb="FFEAD1D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2.83"/>
    <col collapsed="false" customWidth="true" hidden="false" outlineLevel="0" max="2" min="2" style="1" width="12.67"/>
    <col collapsed="false" customWidth="true" hidden="false" outlineLevel="0" max="3" min="3" style="1" width="17.16"/>
    <col collapsed="false" customWidth="true" hidden="false" outlineLevel="0" max="4" min="4" style="1" width="10.16"/>
    <col collapsed="false" customWidth="true" hidden="false" outlineLevel="0" max="5" min="5" style="1" width="21.5"/>
    <col collapsed="false" customWidth="true" hidden="false" outlineLevel="0" max="6" min="6" style="1" width="17.16"/>
    <col collapsed="false" customWidth="true" hidden="false" outlineLevel="0" max="7" min="7" style="1" width="13.16"/>
    <col collapsed="false" customWidth="true" hidden="false" outlineLevel="0" max="9" min="8" style="1" width="17.16"/>
    <col collapsed="false" customWidth="true" hidden="true" outlineLevel="0" max="12" min="10" style="1" width="17.16"/>
    <col collapsed="false" customWidth="true" hidden="true" outlineLevel="0" max="13" min="13" style="1" width="20"/>
    <col collapsed="false" customWidth="true" hidden="true" outlineLevel="0" max="16" min="14" style="1" width="17.16"/>
    <col collapsed="false" customWidth="true" hidden="true" outlineLevel="0" max="17" min="17" style="1" width="18.5"/>
    <col collapsed="false" customWidth="true" hidden="true" outlineLevel="0" max="19" min="18" style="1" width="17.16"/>
    <col collapsed="false" customWidth="true" hidden="true" outlineLevel="0" max="21" min="20" style="1" width="12.83"/>
    <col collapsed="false" customWidth="true" hidden="true" outlineLevel="0" max="22" min="22" style="1" width="20.66"/>
    <col collapsed="false" customWidth="true" hidden="false" outlineLevel="0" max="24" min="23" style="1" width="14.33"/>
    <col collapsed="false" customWidth="true" hidden="false" outlineLevel="0" max="25" min="25" style="1" width="15.66"/>
    <col collapsed="false" customWidth="true" hidden="false" outlineLevel="0" max="26" min="26" style="1" width="17.16"/>
    <col collapsed="false" customWidth="true" hidden="false" outlineLevel="0" max="27" min="27" style="1" width="28.5"/>
    <col collapsed="false" customWidth="true" hidden="false" outlineLevel="0" max="28" min="28" style="1" width="13.5"/>
    <col collapsed="false" customWidth="true" hidden="false" outlineLevel="0" max="29" min="29" style="1" width="12.8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Format="false" ht="15" hidden="false" customHeight="false" outlineLevel="0" collapsed="false">
      <c r="A6" s="5"/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/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26</v>
      </c>
      <c r="AA6" s="5" t="s">
        <v>27</v>
      </c>
      <c r="AB6" s="5" t="s">
        <v>28</v>
      </c>
      <c r="AC6" s="5" t="s">
        <v>29</v>
      </c>
    </row>
    <row r="7" customFormat="false" ht="15" hidden="true" customHeight="false" outlineLevel="0" collapsed="false">
      <c r="A7" s="6"/>
      <c r="B7" s="7" t="s">
        <v>30</v>
      </c>
      <c r="C7" s="7" t="s">
        <v>31</v>
      </c>
      <c r="D7" s="7" t="s">
        <v>32</v>
      </c>
      <c r="E7" s="7" t="s">
        <v>33</v>
      </c>
      <c r="F7" s="8" t="s">
        <v>34</v>
      </c>
      <c r="G7" s="9" t="n">
        <f aca="false">DATE(2000+VALUE(MID(F7,7,2)),VALUE(MID(F7,4,2)),VALUE(LEFT(F7,2)))</f>
        <v>45434</v>
      </c>
      <c r="H7" s="8" t="s">
        <v>35</v>
      </c>
      <c r="I7" s="9" t="n">
        <f aca="false">DATE(2000+VALUE(MID(H7,7,2)),VALUE(MID(H7,4,2)),VALUE(LEFT(H7,2)))</f>
        <v>45434</v>
      </c>
      <c r="J7" s="9"/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7"/>
      <c r="U7" s="7"/>
      <c r="V7" s="7"/>
      <c r="W7" s="7" t="s">
        <v>36</v>
      </c>
      <c r="X7" s="7"/>
      <c r="Y7" s="7" t="s">
        <v>37</v>
      </c>
      <c r="Z7" s="7" t="s">
        <v>30</v>
      </c>
      <c r="AA7" s="7"/>
      <c r="AB7" s="10" t="n">
        <v>0</v>
      </c>
      <c r="AC7" s="10" t="n">
        <v>1</v>
      </c>
    </row>
    <row r="8" customFormat="false" ht="15" hidden="true" customHeight="false" outlineLevel="0" collapsed="false">
      <c r="A8" s="6"/>
      <c r="B8" s="7" t="s">
        <v>38</v>
      </c>
      <c r="C8" s="7" t="s">
        <v>31</v>
      </c>
      <c r="D8" s="7" t="s">
        <v>39</v>
      </c>
      <c r="E8" s="7" t="s">
        <v>40</v>
      </c>
      <c r="F8" s="8" t="s">
        <v>41</v>
      </c>
      <c r="G8" s="9" t="n">
        <f aca="false">DATE(2000+VALUE(MID(F8,7,2)),VALUE(MID(F8,4,2)),VALUE(LEFT(F8,2)))</f>
        <v>45436</v>
      </c>
      <c r="H8" s="8" t="s">
        <v>42</v>
      </c>
      <c r="I8" s="9" t="n">
        <f aca="false">DATE(2000+VALUE(MID(H8,7,2)),VALUE(MID(H8,4,2)),VALUE(LEFT(H8,2)))</f>
        <v>45437</v>
      </c>
      <c r="J8" s="11" t="n">
        <f aca="false">_xlfn.DAYS(I8,G8)</f>
        <v>1</v>
      </c>
      <c r="K8" s="10" t="n">
        <v>449000</v>
      </c>
      <c r="L8" s="10" t="n">
        <v>0</v>
      </c>
      <c r="M8" s="10" t="n">
        <v>449000</v>
      </c>
      <c r="N8" s="10" t="n">
        <v>0</v>
      </c>
      <c r="O8" s="10" t="n">
        <v>449000</v>
      </c>
      <c r="P8" s="10" t="n">
        <v>0</v>
      </c>
      <c r="Q8" s="10" t="n">
        <v>0</v>
      </c>
      <c r="R8" s="10" t="n">
        <v>0</v>
      </c>
      <c r="S8" s="10" t="n">
        <v>0</v>
      </c>
      <c r="T8" s="7"/>
      <c r="U8" s="7"/>
      <c r="V8" s="7"/>
      <c r="W8" s="7" t="s">
        <v>43</v>
      </c>
      <c r="X8" s="7"/>
      <c r="Y8" s="7" t="s">
        <v>37</v>
      </c>
      <c r="Z8" s="7" t="s">
        <v>38</v>
      </c>
      <c r="AA8" s="7"/>
      <c r="AB8" s="10" t="n">
        <v>449000</v>
      </c>
      <c r="AC8" s="10" t="n">
        <v>1</v>
      </c>
    </row>
    <row r="9" customFormat="false" ht="15" hidden="true" customHeight="false" outlineLevel="0" collapsed="false">
      <c r="A9" s="6"/>
      <c r="B9" s="7" t="s">
        <v>44</v>
      </c>
      <c r="C9" s="7" t="s">
        <v>31</v>
      </c>
      <c r="D9" s="7" t="s">
        <v>45</v>
      </c>
      <c r="E9" s="7" t="s">
        <v>46</v>
      </c>
      <c r="F9" s="8" t="s">
        <v>47</v>
      </c>
      <c r="G9" s="9" t="n">
        <f aca="false">DATE(2000+VALUE(MID(F9,7,2)),VALUE(MID(F9,4,2)),VALUE(LEFT(F9,2)))</f>
        <v>45436</v>
      </c>
      <c r="H9" s="8" t="s">
        <v>48</v>
      </c>
      <c r="I9" s="9" t="n">
        <f aca="false">DATE(2000+VALUE(MID(H9,7,2)),VALUE(MID(H9,4,2)),VALUE(LEFT(H9,2)))</f>
        <v>45437</v>
      </c>
      <c r="J9" s="9"/>
      <c r="K9" s="10" t="n">
        <v>784534</v>
      </c>
      <c r="L9" s="10" t="n">
        <v>0</v>
      </c>
      <c r="M9" s="10" t="n">
        <v>784534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784534</v>
      </c>
      <c r="S9" s="10" t="n">
        <v>0</v>
      </c>
      <c r="T9" s="7"/>
      <c r="U9" s="7"/>
      <c r="V9" s="7"/>
      <c r="W9" s="7" t="s">
        <v>49</v>
      </c>
      <c r="X9" s="7"/>
      <c r="Y9" s="7" t="s">
        <v>37</v>
      </c>
      <c r="Z9" s="7" t="s">
        <v>44</v>
      </c>
      <c r="AA9" s="7" t="s">
        <v>50</v>
      </c>
      <c r="AB9" s="10" t="n">
        <v>784534</v>
      </c>
      <c r="AC9" s="10" t="n">
        <v>1</v>
      </c>
    </row>
    <row r="10" customFormat="false" ht="15" hidden="true" customHeight="false" outlineLevel="0" collapsed="false">
      <c r="A10" s="6"/>
      <c r="B10" s="7" t="s">
        <v>51</v>
      </c>
      <c r="C10" s="7" t="s">
        <v>31</v>
      </c>
      <c r="D10" s="7" t="s">
        <v>45</v>
      </c>
      <c r="E10" s="7" t="s">
        <v>52</v>
      </c>
      <c r="F10" s="8" t="s">
        <v>53</v>
      </c>
      <c r="G10" s="9" t="n">
        <f aca="false">DATE(2000+VALUE(MID(F10,7,2)),VALUE(MID(F10,4,2)),VALUE(LEFT(F10,2)))</f>
        <v>45437</v>
      </c>
      <c r="H10" s="8" t="s">
        <v>53</v>
      </c>
      <c r="I10" s="9" t="n">
        <f aca="false">DATE(2000+VALUE(MID(H10,7,2)),VALUE(MID(H10,4,2)),VALUE(LEFT(H10,2)))</f>
        <v>45437</v>
      </c>
      <c r="J10" s="9"/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7"/>
      <c r="U10" s="7"/>
      <c r="V10" s="7"/>
      <c r="W10" s="7" t="s">
        <v>54</v>
      </c>
      <c r="X10" s="7"/>
      <c r="Y10" s="7" t="s">
        <v>37</v>
      </c>
      <c r="Z10" s="7" t="s">
        <v>51</v>
      </c>
      <c r="AA10" s="7"/>
      <c r="AB10" s="10" t="n">
        <v>0</v>
      </c>
      <c r="AC10" s="10" t="n">
        <v>1</v>
      </c>
    </row>
    <row r="11" customFormat="false" ht="15" hidden="true" customHeight="false" outlineLevel="0" collapsed="false">
      <c r="A11" s="6"/>
      <c r="B11" s="7" t="s">
        <v>55</v>
      </c>
      <c r="C11" s="7" t="s">
        <v>31</v>
      </c>
      <c r="D11" s="7" t="s">
        <v>39</v>
      </c>
      <c r="E11" s="7" t="s">
        <v>56</v>
      </c>
      <c r="F11" s="8" t="s">
        <v>57</v>
      </c>
      <c r="G11" s="9" t="n">
        <f aca="false">DATE(2000+VALUE(MID(F11,7,2)),VALUE(MID(F11,4,2)),VALUE(LEFT(F11,2)))</f>
        <v>45437</v>
      </c>
      <c r="H11" s="8" t="s">
        <v>58</v>
      </c>
      <c r="I11" s="9" t="n">
        <f aca="false">DATE(2000+VALUE(MID(H11,7,2)),VALUE(MID(H11,4,2)),VALUE(LEFT(H11,2)))</f>
        <v>45437</v>
      </c>
      <c r="J11" s="11" t="n">
        <f aca="false">_xlfn.DAYS(I11,G11)</f>
        <v>0</v>
      </c>
      <c r="K11" s="10" t="n">
        <v>449000</v>
      </c>
      <c r="L11" s="10" t="n">
        <v>0</v>
      </c>
      <c r="M11" s="10" t="n">
        <v>449000</v>
      </c>
      <c r="N11" s="10" t="n">
        <v>0</v>
      </c>
      <c r="O11" s="10" t="n">
        <v>0</v>
      </c>
      <c r="P11" s="10" t="n">
        <v>0</v>
      </c>
      <c r="Q11" s="10" t="n">
        <v>449000</v>
      </c>
      <c r="R11" s="10" t="n">
        <v>0</v>
      </c>
      <c r="S11" s="10" t="n">
        <v>0</v>
      </c>
      <c r="T11" s="7"/>
      <c r="U11" s="7"/>
      <c r="V11" s="7"/>
      <c r="W11" s="7" t="s">
        <v>43</v>
      </c>
      <c r="X11" s="7"/>
      <c r="Y11" s="7" t="s">
        <v>37</v>
      </c>
      <c r="Z11" s="7" t="s">
        <v>55</v>
      </c>
      <c r="AA11" s="7"/>
      <c r="AB11" s="10" t="n">
        <v>449000</v>
      </c>
      <c r="AC11" s="10" t="n">
        <v>1</v>
      </c>
    </row>
    <row r="12" customFormat="false" ht="15" hidden="true" customHeight="false" outlineLevel="0" collapsed="false">
      <c r="A12" s="6"/>
      <c r="B12" s="7" t="s">
        <v>59</v>
      </c>
      <c r="C12" s="7" t="s">
        <v>60</v>
      </c>
      <c r="D12" s="7" t="s">
        <v>61</v>
      </c>
      <c r="E12" s="7" t="s">
        <v>62</v>
      </c>
      <c r="F12" s="8" t="s">
        <v>57</v>
      </c>
      <c r="G12" s="9" t="n">
        <f aca="false">DATE(2000+VALUE(MID(F12,7,2)),VALUE(MID(F12,4,2)),VALUE(LEFT(F12,2)))</f>
        <v>45437</v>
      </c>
      <c r="H12" s="8" t="s">
        <v>63</v>
      </c>
      <c r="I12" s="9" t="n">
        <f aca="false">DATE(2000+VALUE(MID(H12,7,2)),VALUE(MID(H12,4,2)),VALUE(LEFT(H12,2)))</f>
        <v>45437</v>
      </c>
      <c r="J12" s="9"/>
      <c r="K12" s="10" t="n">
        <v>469000</v>
      </c>
      <c r="L12" s="10" t="n">
        <v>19000</v>
      </c>
      <c r="M12" s="10" t="n">
        <v>488000</v>
      </c>
      <c r="N12" s="10" t="n">
        <v>0</v>
      </c>
      <c r="O12" s="10" t="n">
        <v>19000</v>
      </c>
      <c r="P12" s="10" t="n">
        <v>0</v>
      </c>
      <c r="Q12" s="10" t="n">
        <v>469000</v>
      </c>
      <c r="R12" s="10" t="n">
        <v>0</v>
      </c>
      <c r="S12" s="10" t="n">
        <v>0</v>
      </c>
      <c r="T12" s="7"/>
      <c r="U12" s="7"/>
      <c r="V12" s="7"/>
      <c r="W12" s="7" t="s">
        <v>43</v>
      </c>
      <c r="X12" s="7"/>
      <c r="Y12" s="7" t="s">
        <v>37</v>
      </c>
      <c r="Z12" s="7" t="s">
        <v>59</v>
      </c>
      <c r="AA12" s="7"/>
      <c r="AB12" s="10" t="n">
        <v>469000</v>
      </c>
      <c r="AC12" s="10" t="n">
        <v>1</v>
      </c>
    </row>
    <row r="13" customFormat="false" ht="15" hidden="true" customHeight="false" outlineLevel="0" collapsed="false">
      <c r="A13" s="6"/>
      <c r="B13" s="7" t="s">
        <v>64</v>
      </c>
      <c r="C13" s="7" t="s">
        <v>65</v>
      </c>
      <c r="D13" s="7" t="s">
        <v>66</v>
      </c>
      <c r="E13" s="7" t="s">
        <v>67</v>
      </c>
      <c r="F13" s="8" t="s">
        <v>68</v>
      </c>
      <c r="G13" s="9" t="n">
        <f aca="false">DATE(2000+VALUE(MID(F13,7,2)),VALUE(MID(F13,4,2)),VALUE(LEFT(F13,2)))</f>
        <v>45437</v>
      </c>
      <c r="H13" s="8" t="s">
        <v>69</v>
      </c>
      <c r="I13" s="9" t="n">
        <f aca="false">DATE(2000+VALUE(MID(H13,7,2)),VALUE(MID(H13,4,2)),VALUE(LEFT(H13,2)))</f>
        <v>45438</v>
      </c>
      <c r="J13" s="9"/>
      <c r="K13" s="10" t="n">
        <v>585000</v>
      </c>
      <c r="L13" s="10" t="n">
        <v>0</v>
      </c>
      <c r="M13" s="10" t="n">
        <v>585000</v>
      </c>
      <c r="N13" s="10" t="n">
        <v>0</v>
      </c>
      <c r="O13" s="10" t="n">
        <v>0</v>
      </c>
      <c r="P13" s="10" t="n">
        <v>0</v>
      </c>
      <c r="Q13" s="10" t="n">
        <v>585000</v>
      </c>
      <c r="R13" s="10" t="n">
        <v>0</v>
      </c>
      <c r="S13" s="10" t="n">
        <v>0</v>
      </c>
      <c r="T13" s="7"/>
      <c r="U13" s="7"/>
      <c r="V13" s="7"/>
      <c r="W13" s="7" t="s">
        <v>54</v>
      </c>
      <c r="X13" s="7"/>
      <c r="Y13" s="7" t="s">
        <v>37</v>
      </c>
      <c r="Z13" s="7" t="s">
        <v>64</v>
      </c>
      <c r="AA13" s="7"/>
      <c r="AB13" s="10" t="n">
        <v>585000</v>
      </c>
      <c r="AC13" s="10" t="n">
        <v>1</v>
      </c>
    </row>
    <row r="14" customFormat="false" ht="15" hidden="true" customHeight="false" outlineLevel="0" collapsed="false">
      <c r="A14" s="6"/>
      <c r="B14" s="7" t="s">
        <v>70</v>
      </c>
      <c r="C14" s="7" t="s">
        <v>71</v>
      </c>
      <c r="D14" s="7" t="s">
        <v>72</v>
      </c>
      <c r="E14" s="7" t="s">
        <v>73</v>
      </c>
      <c r="F14" s="8" t="s">
        <v>74</v>
      </c>
      <c r="G14" s="9" t="n">
        <f aca="false">DATE(2000+VALUE(MID(F14,7,2)),VALUE(MID(F14,4,2)),VALUE(LEFT(F14,2)))</f>
        <v>45436</v>
      </c>
      <c r="H14" s="8" t="s">
        <v>69</v>
      </c>
      <c r="I14" s="9" t="n">
        <f aca="false">DATE(2000+VALUE(MID(H14,7,2)),VALUE(MID(H14,4,2)),VALUE(LEFT(H14,2)))</f>
        <v>45438</v>
      </c>
      <c r="J14" s="9"/>
      <c r="K14" s="10" t="n">
        <v>1530000</v>
      </c>
      <c r="L14" s="10" t="n">
        <v>0</v>
      </c>
      <c r="M14" s="10" t="n">
        <v>1530000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1530000</v>
      </c>
      <c r="S14" s="10" t="n">
        <v>0</v>
      </c>
      <c r="T14" s="7"/>
      <c r="U14" s="7"/>
      <c r="V14" s="7"/>
      <c r="W14" s="7" t="s">
        <v>43</v>
      </c>
      <c r="X14" s="7"/>
      <c r="Y14" s="7" t="s">
        <v>37</v>
      </c>
      <c r="Z14" s="7" t="s">
        <v>70</v>
      </c>
      <c r="AA14" s="7"/>
      <c r="AB14" s="10" t="n">
        <v>765000</v>
      </c>
      <c r="AC14" s="10" t="n">
        <v>2</v>
      </c>
    </row>
    <row r="15" customFormat="false" ht="15" hidden="true" customHeight="false" outlineLevel="0" collapsed="false">
      <c r="A15" s="6"/>
      <c r="B15" s="7" t="s">
        <v>75</v>
      </c>
      <c r="C15" s="7" t="s">
        <v>65</v>
      </c>
      <c r="D15" s="7" t="s">
        <v>76</v>
      </c>
      <c r="E15" s="7" t="s">
        <v>77</v>
      </c>
      <c r="F15" s="8" t="s">
        <v>78</v>
      </c>
      <c r="G15" s="9" t="n">
        <f aca="false">DATE(2000+VALUE(MID(F15,7,2)),VALUE(MID(F15,4,2)),VALUE(LEFT(F15,2)))</f>
        <v>45437</v>
      </c>
      <c r="H15" s="8" t="s">
        <v>79</v>
      </c>
      <c r="I15" s="9" t="n">
        <f aca="false">DATE(2000+VALUE(MID(H15,7,2)),VALUE(MID(H15,4,2)),VALUE(LEFT(H15,2)))</f>
        <v>45438</v>
      </c>
      <c r="J15" s="9"/>
      <c r="K15" s="10" t="n">
        <v>463075</v>
      </c>
      <c r="L15" s="10" t="n">
        <v>0</v>
      </c>
      <c r="M15" s="10" t="n">
        <v>463075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463075</v>
      </c>
      <c r="S15" s="10" t="n">
        <v>0</v>
      </c>
      <c r="T15" s="7"/>
      <c r="U15" s="7"/>
      <c r="V15" s="7"/>
      <c r="W15" s="7" t="s">
        <v>49</v>
      </c>
      <c r="X15" s="7"/>
      <c r="Y15" s="7" t="s">
        <v>37</v>
      </c>
      <c r="Z15" s="7" t="s">
        <v>75</v>
      </c>
      <c r="AA15" s="7" t="s">
        <v>80</v>
      </c>
      <c r="AB15" s="10" t="n">
        <v>463075</v>
      </c>
      <c r="AC15" s="10" t="n">
        <v>1</v>
      </c>
    </row>
    <row r="16" customFormat="false" ht="15" hidden="true" customHeight="false" outlineLevel="0" collapsed="false">
      <c r="A16" s="6"/>
      <c r="B16" s="7" t="s">
        <v>81</v>
      </c>
      <c r="C16" s="7" t="s">
        <v>65</v>
      </c>
      <c r="D16" s="7" t="s">
        <v>82</v>
      </c>
      <c r="E16" s="7" t="s">
        <v>83</v>
      </c>
      <c r="F16" s="8" t="s">
        <v>84</v>
      </c>
      <c r="G16" s="9" t="n">
        <f aca="false">DATE(2000+VALUE(MID(F16,7,2)),VALUE(MID(F16,4,2)),VALUE(LEFT(F16,2)))</f>
        <v>45437</v>
      </c>
      <c r="H16" s="8" t="s">
        <v>85</v>
      </c>
      <c r="I16" s="9" t="n">
        <f aca="false">DATE(2000+VALUE(MID(H16,7,2)),VALUE(MID(H16,4,2)),VALUE(LEFT(H16,2)))</f>
        <v>45438</v>
      </c>
      <c r="J16" s="9"/>
      <c r="K16" s="10" t="n">
        <v>580000</v>
      </c>
      <c r="L16" s="10" t="n">
        <v>0</v>
      </c>
      <c r="M16" s="10" t="n">
        <v>580000</v>
      </c>
      <c r="N16" s="10" t="n">
        <v>0</v>
      </c>
      <c r="O16" s="10" t="n">
        <v>580000</v>
      </c>
      <c r="P16" s="10" t="n">
        <v>0</v>
      </c>
      <c r="Q16" s="10" t="n">
        <v>0</v>
      </c>
      <c r="R16" s="10" t="n">
        <v>0</v>
      </c>
      <c r="S16" s="10" t="n">
        <v>0</v>
      </c>
      <c r="T16" s="7"/>
      <c r="U16" s="7"/>
      <c r="V16" s="7"/>
      <c r="W16" s="7" t="s">
        <v>43</v>
      </c>
      <c r="X16" s="7"/>
      <c r="Y16" s="7" t="s">
        <v>37</v>
      </c>
      <c r="Z16" s="7" t="s">
        <v>81</v>
      </c>
      <c r="AA16" s="7"/>
      <c r="AB16" s="10" t="n">
        <v>580000</v>
      </c>
      <c r="AC16" s="10" t="n">
        <v>1</v>
      </c>
    </row>
    <row r="17" customFormat="false" ht="15" hidden="true" customHeight="false" outlineLevel="0" collapsed="false">
      <c r="A17" s="6"/>
      <c r="B17" s="7" t="s">
        <v>86</v>
      </c>
      <c r="C17" s="7" t="s">
        <v>65</v>
      </c>
      <c r="D17" s="7" t="s">
        <v>87</v>
      </c>
      <c r="E17" s="7" t="s">
        <v>88</v>
      </c>
      <c r="F17" s="8" t="s">
        <v>89</v>
      </c>
      <c r="G17" s="9" t="n">
        <f aca="false">DATE(2000+VALUE(MID(F17,7,2)),VALUE(MID(F17,4,2)),VALUE(LEFT(F17,2)))</f>
        <v>45437</v>
      </c>
      <c r="H17" s="8" t="s">
        <v>90</v>
      </c>
      <c r="I17" s="9" t="n">
        <f aca="false">DATE(2000+VALUE(MID(H17,7,2)),VALUE(MID(H17,4,2)),VALUE(LEFT(H17,2)))</f>
        <v>45438</v>
      </c>
      <c r="J17" s="9"/>
      <c r="K17" s="10" t="n">
        <v>585000</v>
      </c>
      <c r="L17" s="10" t="n">
        <v>0</v>
      </c>
      <c r="M17" s="10" t="n">
        <v>585000</v>
      </c>
      <c r="N17" s="10" t="n">
        <v>0</v>
      </c>
      <c r="O17" s="10" t="n">
        <v>0</v>
      </c>
      <c r="P17" s="10" t="n">
        <v>0</v>
      </c>
      <c r="Q17" s="10" t="n">
        <v>585000</v>
      </c>
      <c r="R17" s="10" t="n">
        <v>0</v>
      </c>
      <c r="S17" s="10" t="n">
        <v>0</v>
      </c>
      <c r="T17" s="7"/>
      <c r="U17" s="7"/>
      <c r="V17" s="7"/>
      <c r="W17" s="7" t="s">
        <v>54</v>
      </c>
      <c r="X17" s="7"/>
      <c r="Y17" s="7" t="s">
        <v>37</v>
      </c>
      <c r="Z17" s="7" t="s">
        <v>86</v>
      </c>
      <c r="AA17" s="7"/>
      <c r="AB17" s="10" t="n">
        <v>585000</v>
      </c>
      <c r="AC17" s="10" t="n">
        <v>1</v>
      </c>
    </row>
    <row r="18" customFormat="false" ht="15" hidden="true" customHeight="false" outlineLevel="0" collapsed="false">
      <c r="A18" s="6"/>
      <c r="B18" s="7" t="s">
        <v>91</v>
      </c>
      <c r="C18" s="7" t="s">
        <v>71</v>
      </c>
      <c r="D18" s="7" t="s">
        <v>92</v>
      </c>
      <c r="E18" s="7" t="s">
        <v>93</v>
      </c>
      <c r="F18" s="8" t="s">
        <v>94</v>
      </c>
      <c r="G18" s="9" t="n">
        <f aca="false">DATE(2000+VALUE(MID(F18,7,2)),VALUE(MID(F18,4,2)),VALUE(LEFT(F18,2)))</f>
        <v>45437</v>
      </c>
      <c r="H18" s="8" t="s">
        <v>90</v>
      </c>
      <c r="I18" s="9" t="n">
        <f aca="false">DATE(2000+VALUE(MID(H18,7,2)),VALUE(MID(H18,4,2)),VALUE(LEFT(H18,2)))</f>
        <v>45438</v>
      </c>
      <c r="J18" s="9"/>
      <c r="K18" s="10" t="n">
        <v>700000</v>
      </c>
      <c r="L18" s="10" t="n">
        <v>0</v>
      </c>
      <c r="M18" s="10" t="n">
        <v>700000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700000</v>
      </c>
      <c r="S18" s="10" t="n">
        <v>0</v>
      </c>
      <c r="T18" s="7"/>
      <c r="U18" s="7"/>
      <c r="V18" s="7"/>
      <c r="W18" s="7" t="s">
        <v>43</v>
      </c>
      <c r="X18" s="7"/>
      <c r="Y18" s="7" t="s">
        <v>37</v>
      </c>
      <c r="Z18" s="7" t="s">
        <v>91</v>
      </c>
      <c r="AA18" s="7"/>
      <c r="AB18" s="10" t="n">
        <v>700000</v>
      </c>
      <c r="AC18" s="10" t="n">
        <v>1</v>
      </c>
    </row>
    <row r="19" customFormat="false" ht="15" hidden="true" customHeight="false" outlineLevel="0" collapsed="false">
      <c r="A19" s="6"/>
      <c r="B19" s="7" t="s">
        <v>95</v>
      </c>
      <c r="C19" s="7" t="s">
        <v>65</v>
      </c>
      <c r="D19" s="7" t="s">
        <v>96</v>
      </c>
      <c r="E19" s="7" t="s">
        <v>97</v>
      </c>
      <c r="F19" s="8" t="s">
        <v>98</v>
      </c>
      <c r="G19" s="9" t="n">
        <f aca="false">DATE(2000+VALUE(MID(F19,7,2)),VALUE(MID(F19,4,2)),VALUE(LEFT(F19,2)))</f>
        <v>45437</v>
      </c>
      <c r="H19" s="8" t="s">
        <v>99</v>
      </c>
      <c r="I19" s="9" t="n">
        <f aca="false">DATE(2000+VALUE(MID(H19,7,2)),VALUE(MID(H19,4,2)),VALUE(LEFT(H19,2)))</f>
        <v>45438</v>
      </c>
      <c r="J19" s="9"/>
      <c r="K19" s="10" t="n">
        <v>825000</v>
      </c>
      <c r="L19" s="10" t="n">
        <v>0</v>
      </c>
      <c r="M19" s="10" t="n">
        <v>825000</v>
      </c>
      <c r="N19" s="10" t="n">
        <v>0</v>
      </c>
      <c r="O19" s="10" t="n">
        <v>240000</v>
      </c>
      <c r="P19" s="10" t="n">
        <v>0</v>
      </c>
      <c r="Q19" s="10" t="n">
        <v>585000</v>
      </c>
      <c r="R19" s="10" t="n">
        <v>0</v>
      </c>
      <c r="S19" s="10" t="n">
        <v>0</v>
      </c>
      <c r="T19" s="7"/>
      <c r="U19" s="7"/>
      <c r="V19" s="7"/>
      <c r="W19" s="7" t="s">
        <v>43</v>
      </c>
      <c r="X19" s="7"/>
      <c r="Y19" s="7" t="s">
        <v>37</v>
      </c>
      <c r="Z19" s="7" t="s">
        <v>95</v>
      </c>
      <c r="AA19" s="7"/>
      <c r="AB19" s="10" t="n">
        <v>825000</v>
      </c>
      <c r="AC19" s="10" t="n">
        <v>1</v>
      </c>
    </row>
    <row r="20" customFormat="false" ht="15.75" hidden="true" customHeight="true" outlineLevel="0" collapsed="false">
      <c r="A20" s="6"/>
      <c r="B20" s="7" t="s">
        <v>100</v>
      </c>
      <c r="C20" s="7" t="s">
        <v>65</v>
      </c>
      <c r="D20" s="7" t="s">
        <v>66</v>
      </c>
      <c r="E20" s="7" t="s">
        <v>101</v>
      </c>
      <c r="F20" s="8" t="s">
        <v>102</v>
      </c>
      <c r="G20" s="9" t="n">
        <f aca="false">DATE(2000+VALUE(MID(F20,7,2)),VALUE(MID(F20,4,2)),VALUE(LEFT(F20,2)))</f>
        <v>45438</v>
      </c>
      <c r="H20" s="8" t="s">
        <v>103</v>
      </c>
      <c r="I20" s="9" t="n">
        <f aca="false">DATE(2000+VALUE(MID(H20,7,2)),VALUE(MID(H20,4,2)),VALUE(LEFT(H20,2)))</f>
        <v>45438</v>
      </c>
      <c r="J20" s="9"/>
      <c r="K20" s="10" t="n">
        <v>575000</v>
      </c>
      <c r="L20" s="10" t="n">
        <v>0</v>
      </c>
      <c r="M20" s="10" t="n">
        <v>575000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575000</v>
      </c>
      <c r="S20" s="10" t="n">
        <v>0</v>
      </c>
      <c r="T20" s="7"/>
      <c r="U20" s="7"/>
      <c r="V20" s="7"/>
      <c r="W20" s="7" t="s">
        <v>54</v>
      </c>
      <c r="X20" s="7"/>
      <c r="Y20" s="7" t="s">
        <v>37</v>
      </c>
      <c r="Z20" s="7" t="s">
        <v>100</v>
      </c>
      <c r="AA20" s="7"/>
      <c r="AB20" s="10" t="n">
        <v>575000</v>
      </c>
      <c r="AC20" s="10" t="n">
        <v>1</v>
      </c>
    </row>
    <row r="21" customFormat="false" ht="15.75" hidden="true" customHeight="true" outlineLevel="0" collapsed="false">
      <c r="A21" s="6"/>
      <c r="B21" s="7" t="s">
        <v>104</v>
      </c>
      <c r="C21" s="7" t="s">
        <v>31</v>
      </c>
      <c r="D21" s="7" t="s">
        <v>105</v>
      </c>
      <c r="E21" s="7" t="s">
        <v>106</v>
      </c>
      <c r="F21" s="8" t="s">
        <v>107</v>
      </c>
      <c r="G21" s="9" t="n">
        <f aca="false">DATE(2000+VALUE(MID(F21,7,2)),VALUE(MID(F21,4,2)),VALUE(LEFT(F21,2)))</f>
        <v>45438</v>
      </c>
      <c r="H21" s="8" t="s">
        <v>108</v>
      </c>
      <c r="I21" s="9" t="n">
        <f aca="false">DATE(2000+VALUE(MID(H21,7,2)),VALUE(MID(H21,4,2)),VALUE(LEFT(H21,2)))</f>
        <v>45439</v>
      </c>
      <c r="J21" s="9"/>
      <c r="K21" s="10" t="n">
        <v>585000</v>
      </c>
      <c r="L21" s="10" t="n">
        <v>0</v>
      </c>
      <c r="M21" s="10" t="n">
        <v>555000</v>
      </c>
      <c r="N21" s="10" t="n">
        <v>0</v>
      </c>
      <c r="O21" s="10" t="n">
        <v>0</v>
      </c>
      <c r="P21" s="10" t="n">
        <v>0</v>
      </c>
      <c r="Q21" s="10" t="n">
        <v>555000</v>
      </c>
      <c r="R21" s="10" t="n">
        <v>0</v>
      </c>
      <c r="S21" s="10" t="n">
        <v>0</v>
      </c>
      <c r="T21" s="7"/>
      <c r="U21" s="7"/>
      <c r="V21" s="7"/>
      <c r="W21" s="7" t="s">
        <v>43</v>
      </c>
      <c r="X21" s="7"/>
      <c r="Y21" s="7" t="s">
        <v>37</v>
      </c>
      <c r="Z21" s="7" t="s">
        <v>109</v>
      </c>
      <c r="AA21" s="7"/>
      <c r="AB21" s="10" t="n">
        <v>585000</v>
      </c>
      <c r="AC21" s="10" t="n">
        <v>1</v>
      </c>
    </row>
    <row r="22" customFormat="false" ht="15.75" hidden="true" customHeight="true" outlineLevel="0" collapsed="false">
      <c r="A22" s="6"/>
      <c r="B22" s="7" t="s">
        <v>110</v>
      </c>
      <c r="C22" s="7" t="s">
        <v>71</v>
      </c>
      <c r="D22" s="7" t="s">
        <v>92</v>
      </c>
      <c r="E22" s="7" t="s">
        <v>111</v>
      </c>
      <c r="F22" s="8" t="s">
        <v>112</v>
      </c>
      <c r="G22" s="9" t="n">
        <f aca="false">DATE(2000+VALUE(MID(F22,7,2)),VALUE(MID(F22,4,2)),VALUE(LEFT(F22,2)))</f>
        <v>45438</v>
      </c>
      <c r="H22" s="8" t="s">
        <v>108</v>
      </c>
      <c r="I22" s="9" t="n">
        <f aca="false">DATE(2000+VALUE(MID(H22,7,2)),VALUE(MID(H22,4,2)),VALUE(LEFT(H22,2)))</f>
        <v>45439</v>
      </c>
      <c r="J22" s="9"/>
      <c r="K22" s="10" t="n">
        <v>804667</v>
      </c>
      <c r="L22" s="10" t="n">
        <v>0</v>
      </c>
      <c r="M22" s="10" t="n">
        <v>804667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804667</v>
      </c>
      <c r="S22" s="10" t="n">
        <v>0</v>
      </c>
      <c r="T22" s="7"/>
      <c r="U22" s="7"/>
      <c r="V22" s="7"/>
      <c r="W22" s="7" t="s">
        <v>113</v>
      </c>
      <c r="X22" s="7"/>
      <c r="Y22" s="7" t="s">
        <v>37</v>
      </c>
      <c r="Z22" s="7" t="s">
        <v>114</v>
      </c>
      <c r="AA22" s="7"/>
      <c r="AB22" s="10" t="n">
        <v>804667</v>
      </c>
      <c r="AC22" s="10" t="n">
        <v>1</v>
      </c>
    </row>
    <row r="23" customFormat="false" ht="15.75" hidden="true" customHeight="true" outlineLevel="0" collapsed="false">
      <c r="A23" s="6"/>
      <c r="B23" s="7" t="s">
        <v>115</v>
      </c>
      <c r="C23" s="7" t="s">
        <v>60</v>
      </c>
      <c r="D23" s="7" t="s">
        <v>116</v>
      </c>
      <c r="E23" s="7" t="s">
        <v>117</v>
      </c>
      <c r="F23" s="8" t="s">
        <v>118</v>
      </c>
      <c r="G23" s="9" t="n">
        <f aca="false">DATE(2000+VALUE(MID(F23,7,2)),VALUE(MID(F23,4,2)),VALUE(LEFT(F23,2)))</f>
        <v>45437</v>
      </c>
      <c r="H23" s="8" t="s">
        <v>119</v>
      </c>
      <c r="I23" s="9" t="n">
        <f aca="false">DATE(2000+VALUE(MID(H23,7,2)),VALUE(MID(H23,4,2)),VALUE(LEFT(H23,2)))</f>
        <v>45439</v>
      </c>
      <c r="J23" s="9"/>
      <c r="K23" s="10" t="n">
        <v>2042000</v>
      </c>
      <c r="L23" s="10" t="n">
        <v>200000</v>
      </c>
      <c r="M23" s="10" t="n">
        <v>2242000</v>
      </c>
      <c r="N23" s="10" t="n">
        <v>0</v>
      </c>
      <c r="O23" s="10" t="n">
        <v>1570000</v>
      </c>
      <c r="P23" s="10" t="n">
        <v>0</v>
      </c>
      <c r="Q23" s="10" t="n">
        <v>672000</v>
      </c>
      <c r="R23" s="10" t="n">
        <v>0</v>
      </c>
      <c r="S23" s="10" t="n">
        <v>0</v>
      </c>
      <c r="T23" s="7"/>
      <c r="U23" s="7"/>
      <c r="V23" s="7"/>
      <c r="W23" s="7" t="s">
        <v>43</v>
      </c>
      <c r="X23" s="7"/>
      <c r="Y23" s="7" t="s">
        <v>37</v>
      </c>
      <c r="Z23" s="7" t="s">
        <v>115</v>
      </c>
      <c r="AA23" s="7"/>
      <c r="AB23" s="10" t="n">
        <v>1021000</v>
      </c>
      <c r="AC23" s="10" t="n">
        <v>2</v>
      </c>
    </row>
    <row r="24" customFormat="false" ht="15.75" hidden="true" customHeight="true" outlineLevel="0" collapsed="false">
      <c r="A24" s="6"/>
      <c r="B24" s="7" t="s">
        <v>120</v>
      </c>
      <c r="C24" s="7" t="s">
        <v>65</v>
      </c>
      <c r="D24" s="7" t="s">
        <v>66</v>
      </c>
      <c r="E24" s="7" t="s">
        <v>121</v>
      </c>
      <c r="F24" s="8" t="s">
        <v>122</v>
      </c>
      <c r="G24" s="9" t="n">
        <f aca="false">DATE(2000+VALUE(MID(F24,7,2)),VALUE(MID(F24,4,2)),VALUE(LEFT(F24,2)))</f>
        <v>45439</v>
      </c>
      <c r="H24" s="8" t="s">
        <v>123</v>
      </c>
      <c r="I24" s="9" t="n">
        <f aca="false">DATE(2000+VALUE(MID(H24,7,2)),VALUE(MID(H24,4,2)),VALUE(LEFT(H24,2)))</f>
        <v>45439</v>
      </c>
      <c r="J24" s="9"/>
      <c r="K24" s="10" t="n">
        <v>529000</v>
      </c>
      <c r="L24" s="10" t="n">
        <v>0</v>
      </c>
      <c r="M24" s="10" t="n">
        <v>529000</v>
      </c>
      <c r="N24" s="10" t="n">
        <v>0</v>
      </c>
      <c r="O24" s="10" t="n">
        <v>0</v>
      </c>
      <c r="P24" s="10" t="n">
        <v>0</v>
      </c>
      <c r="Q24" s="10" t="n">
        <v>529000</v>
      </c>
      <c r="R24" s="10" t="n">
        <v>0</v>
      </c>
      <c r="S24" s="10" t="n">
        <v>0</v>
      </c>
      <c r="T24" s="7"/>
      <c r="U24" s="7"/>
      <c r="V24" s="7"/>
      <c r="W24" s="7" t="s">
        <v>54</v>
      </c>
      <c r="X24" s="7"/>
      <c r="Y24" s="7" t="s">
        <v>37</v>
      </c>
      <c r="Z24" s="7" t="s">
        <v>124</v>
      </c>
      <c r="AA24" s="7"/>
      <c r="AB24" s="10" t="n">
        <v>529000</v>
      </c>
      <c r="AC24" s="10" t="n">
        <v>1</v>
      </c>
    </row>
    <row r="25" customFormat="false" ht="15.75" hidden="true" customHeight="true" outlineLevel="0" collapsed="false">
      <c r="A25" s="6"/>
      <c r="B25" s="7" t="s">
        <v>125</v>
      </c>
      <c r="C25" s="7" t="s">
        <v>31</v>
      </c>
      <c r="D25" s="7" t="s">
        <v>39</v>
      </c>
      <c r="E25" s="7" t="s">
        <v>126</v>
      </c>
      <c r="F25" s="8" t="s">
        <v>127</v>
      </c>
      <c r="G25" s="9" t="n">
        <f aca="false">DATE(2000+VALUE(MID(F25,7,2)),VALUE(MID(F25,4,2)),VALUE(LEFT(F25,2)))</f>
        <v>45439</v>
      </c>
      <c r="H25" s="8" t="s">
        <v>128</v>
      </c>
      <c r="I25" s="9" t="n">
        <f aca="false">DATE(2000+VALUE(MID(H25,7,2)),VALUE(MID(H25,4,2)),VALUE(LEFT(H25,2)))</f>
        <v>45440</v>
      </c>
      <c r="J25" s="11"/>
      <c r="K25" s="10" t="n">
        <v>899000</v>
      </c>
      <c r="L25" s="10" t="n">
        <v>0</v>
      </c>
      <c r="M25" s="10" t="n">
        <v>809100</v>
      </c>
      <c r="N25" s="10" t="n">
        <v>0</v>
      </c>
      <c r="O25" s="10" t="n">
        <v>0</v>
      </c>
      <c r="P25" s="10" t="n">
        <v>0</v>
      </c>
      <c r="Q25" s="10" t="n">
        <v>809100</v>
      </c>
      <c r="R25" s="10" t="n">
        <v>0</v>
      </c>
      <c r="S25" s="10" t="n">
        <v>0</v>
      </c>
      <c r="T25" s="7"/>
      <c r="U25" s="7"/>
      <c r="V25" s="7"/>
      <c r="W25" s="7" t="s">
        <v>49</v>
      </c>
      <c r="X25" s="7"/>
      <c r="Y25" s="7" t="s">
        <v>37</v>
      </c>
      <c r="Z25" s="7" t="s">
        <v>129</v>
      </c>
      <c r="AA25" s="7" t="s">
        <v>130</v>
      </c>
      <c r="AB25" s="10" t="n">
        <v>899000</v>
      </c>
      <c r="AC25" s="10" t="n">
        <v>1</v>
      </c>
    </row>
    <row r="26" customFormat="false" ht="15.75" hidden="true" customHeight="true" outlineLevel="0" collapsed="false">
      <c r="A26" s="6"/>
      <c r="B26" s="7" t="s">
        <v>104</v>
      </c>
      <c r="C26" s="7" t="s">
        <v>65</v>
      </c>
      <c r="D26" s="7" t="s">
        <v>87</v>
      </c>
      <c r="E26" s="7" t="s">
        <v>131</v>
      </c>
      <c r="F26" s="8" t="s">
        <v>107</v>
      </c>
      <c r="G26" s="9" t="n">
        <f aca="false">DATE(2000+VALUE(MID(F26,7,2)),VALUE(MID(F26,4,2)),VALUE(LEFT(F26,2)))</f>
        <v>45438</v>
      </c>
      <c r="H26" s="8" t="s">
        <v>132</v>
      </c>
      <c r="I26" s="9" t="n">
        <f aca="false">DATE(2000+VALUE(MID(H26,7,2)),VALUE(MID(H26,4,2)),VALUE(LEFT(H26,2)))</f>
        <v>45440</v>
      </c>
      <c r="J26" s="9"/>
      <c r="K26" s="10" t="n">
        <v>990000</v>
      </c>
      <c r="L26" s="10" t="n">
        <v>0</v>
      </c>
      <c r="M26" s="10" t="n">
        <v>990000</v>
      </c>
      <c r="N26" s="10" t="n">
        <v>0</v>
      </c>
      <c r="O26" s="10" t="n">
        <v>0</v>
      </c>
      <c r="P26" s="10" t="n">
        <v>0</v>
      </c>
      <c r="Q26" s="10" t="n">
        <v>990000</v>
      </c>
      <c r="R26" s="10" t="n">
        <v>0</v>
      </c>
      <c r="S26" s="10" t="n">
        <v>0</v>
      </c>
      <c r="T26" s="7"/>
      <c r="U26" s="7"/>
      <c r="V26" s="7"/>
      <c r="W26" s="7" t="s">
        <v>43</v>
      </c>
      <c r="X26" s="7"/>
      <c r="Y26" s="7" t="s">
        <v>37</v>
      </c>
      <c r="Z26" s="7" t="s">
        <v>104</v>
      </c>
      <c r="AA26" s="7"/>
      <c r="AB26" s="10" t="n">
        <v>495000</v>
      </c>
      <c r="AC26" s="10" t="n">
        <v>2</v>
      </c>
    </row>
    <row r="27" customFormat="false" ht="15.75" hidden="true" customHeight="true" outlineLevel="0" collapsed="false">
      <c r="A27" s="6"/>
      <c r="B27" s="7" t="s">
        <v>133</v>
      </c>
      <c r="C27" s="7" t="s">
        <v>65</v>
      </c>
      <c r="D27" s="7" t="s">
        <v>66</v>
      </c>
      <c r="E27" s="7" t="s">
        <v>134</v>
      </c>
      <c r="F27" s="8" t="s">
        <v>135</v>
      </c>
      <c r="G27" s="9" t="n">
        <f aca="false">DATE(2000+VALUE(MID(F27,7,2)),VALUE(MID(F27,4,2)),VALUE(LEFT(F27,2)))</f>
        <v>45440</v>
      </c>
      <c r="H27" s="8" t="s">
        <v>136</v>
      </c>
      <c r="I27" s="9" t="n">
        <f aca="false">DATE(2000+VALUE(MID(H27,7,2)),VALUE(MID(H27,4,2)),VALUE(LEFT(H27,2)))</f>
        <v>45441</v>
      </c>
      <c r="J27" s="9"/>
      <c r="K27" s="10" t="n">
        <v>494000</v>
      </c>
      <c r="L27" s="10" t="n">
        <v>19000</v>
      </c>
      <c r="M27" s="10" t="n">
        <v>513000</v>
      </c>
      <c r="N27" s="10" t="n">
        <v>0</v>
      </c>
      <c r="O27" s="10" t="n">
        <v>19000</v>
      </c>
      <c r="P27" s="10" t="n">
        <v>0</v>
      </c>
      <c r="Q27" s="10" t="n">
        <v>494000</v>
      </c>
      <c r="R27" s="10" t="n">
        <v>0</v>
      </c>
      <c r="S27" s="10" t="n">
        <v>0</v>
      </c>
      <c r="T27" s="7"/>
      <c r="U27" s="7"/>
      <c r="V27" s="7"/>
      <c r="W27" s="7" t="s">
        <v>54</v>
      </c>
      <c r="X27" s="7"/>
      <c r="Y27" s="7" t="s">
        <v>37</v>
      </c>
      <c r="Z27" s="7" t="s">
        <v>125</v>
      </c>
      <c r="AA27" s="7"/>
      <c r="AB27" s="10" t="n">
        <v>494000</v>
      </c>
      <c r="AC27" s="10" t="n">
        <v>1</v>
      </c>
    </row>
    <row r="28" customFormat="false" ht="15.75" hidden="true" customHeight="true" outlineLevel="0" collapsed="false">
      <c r="A28" s="6"/>
      <c r="B28" s="7" t="s">
        <v>109</v>
      </c>
      <c r="C28" s="7" t="s">
        <v>60</v>
      </c>
      <c r="D28" s="7" t="s">
        <v>116</v>
      </c>
      <c r="E28" s="7" t="s">
        <v>137</v>
      </c>
      <c r="F28" s="8" t="s">
        <v>138</v>
      </c>
      <c r="G28" s="9" t="n">
        <f aca="false">DATE(2000+VALUE(MID(F28,7,2)),VALUE(MID(F28,4,2)),VALUE(LEFT(F28,2)))</f>
        <v>45439</v>
      </c>
      <c r="H28" s="8" t="s">
        <v>139</v>
      </c>
      <c r="I28" s="9" t="n">
        <f aca="false">DATE(2000+VALUE(MID(H28,7,2)),VALUE(MID(H28,4,2)),VALUE(LEFT(H28,2)))</f>
        <v>45441</v>
      </c>
      <c r="J28" s="9"/>
      <c r="K28" s="10" t="n">
        <v>1173334</v>
      </c>
      <c r="L28" s="10" t="n">
        <v>29000</v>
      </c>
      <c r="M28" s="10" t="n">
        <v>1202334</v>
      </c>
      <c r="N28" s="10" t="n">
        <v>0</v>
      </c>
      <c r="O28" s="10" t="n">
        <v>29000</v>
      </c>
      <c r="P28" s="10" t="n">
        <v>0</v>
      </c>
      <c r="Q28" s="10" t="n">
        <v>1173334</v>
      </c>
      <c r="R28" s="10" t="n">
        <v>0</v>
      </c>
      <c r="S28" s="10" t="n">
        <v>0</v>
      </c>
      <c r="T28" s="7"/>
      <c r="U28" s="7"/>
      <c r="V28" s="7"/>
      <c r="W28" s="7" t="s">
        <v>43</v>
      </c>
      <c r="X28" s="7"/>
      <c r="Y28" s="7" t="s">
        <v>37</v>
      </c>
      <c r="Z28" s="7" t="s">
        <v>110</v>
      </c>
      <c r="AA28" s="7"/>
      <c r="AB28" s="10" t="n">
        <v>586667</v>
      </c>
      <c r="AC28" s="10" t="n">
        <v>2</v>
      </c>
    </row>
    <row r="29" customFormat="false" ht="15.75" hidden="true" customHeight="true" outlineLevel="0" collapsed="false">
      <c r="A29" s="6"/>
      <c r="B29" s="7" t="s">
        <v>140</v>
      </c>
      <c r="C29" s="7" t="s">
        <v>65</v>
      </c>
      <c r="D29" s="7" t="s">
        <v>82</v>
      </c>
      <c r="E29" s="7" t="s">
        <v>141</v>
      </c>
      <c r="F29" s="8" t="s">
        <v>142</v>
      </c>
      <c r="G29" s="9" t="n">
        <f aca="false">DATE(2000+VALUE(MID(F29,7,2)),VALUE(MID(F29,4,2)),VALUE(LEFT(F29,2)))</f>
        <v>45438</v>
      </c>
      <c r="H29" s="8" t="s">
        <v>139</v>
      </c>
      <c r="I29" s="9" t="n">
        <f aca="false">DATE(2000+VALUE(MID(H29,7,2)),VALUE(MID(H29,4,2)),VALUE(LEFT(H29,2)))</f>
        <v>45441</v>
      </c>
      <c r="J29" s="9"/>
      <c r="K29" s="10" t="n">
        <v>1485000</v>
      </c>
      <c r="L29" s="10" t="n">
        <v>0</v>
      </c>
      <c r="M29" s="10" t="n">
        <v>1485000</v>
      </c>
      <c r="N29" s="10" t="n">
        <v>0</v>
      </c>
      <c r="O29" s="10" t="n">
        <v>0</v>
      </c>
      <c r="P29" s="10" t="n">
        <v>0</v>
      </c>
      <c r="Q29" s="10" t="n">
        <v>1485000</v>
      </c>
      <c r="R29" s="10" t="n">
        <v>0</v>
      </c>
      <c r="S29" s="10" t="n">
        <v>0</v>
      </c>
      <c r="T29" s="7"/>
      <c r="U29" s="7"/>
      <c r="V29" s="7"/>
      <c r="W29" s="7" t="s">
        <v>43</v>
      </c>
      <c r="X29" s="7"/>
      <c r="Y29" s="7" t="s">
        <v>37</v>
      </c>
      <c r="Z29" s="7" t="s">
        <v>133</v>
      </c>
      <c r="AA29" s="7"/>
      <c r="AB29" s="10" t="n">
        <v>495000</v>
      </c>
      <c r="AC29" s="10" t="n">
        <v>3</v>
      </c>
    </row>
    <row r="30" customFormat="false" ht="15.75" hidden="true" customHeight="true" outlineLevel="0" collapsed="false">
      <c r="A30" s="6"/>
      <c r="B30" s="7" t="s">
        <v>143</v>
      </c>
      <c r="C30" s="7" t="s">
        <v>31</v>
      </c>
      <c r="D30" s="7" t="s">
        <v>39</v>
      </c>
      <c r="E30" s="7" t="s">
        <v>144</v>
      </c>
      <c r="F30" s="8" t="s">
        <v>145</v>
      </c>
      <c r="G30" s="9" t="n">
        <f aca="false">DATE(2000+VALUE(MID(F30,7,2)),VALUE(MID(F30,4,2)),VALUE(LEFT(F30,2)))</f>
        <v>45440</v>
      </c>
      <c r="H30" s="8" t="s">
        <v>139</v>
      </c>
      <c r="I30" s="9" t="n">
        <f aca="false">DATE(2000+VALUE(MID(H30,7,2)),VALUE(MID(H30,4,2)),VALUE(LEFT(H30,2)))</f>
        <v>45441</v>
      </c>
      <c r="J30" s="11" t="n">
        <f aca="false">_xlfn.DAYS(I30,G30)</f>
        <v>1</v>
      </c>
      <c r="K30" s="10" t="n">
        <v>899000</v>
      </c>
      <c r="L30" s="10" t="n">
        <v>0</v>
      </c>
      <c r="M30" s="10" t="n">
        <v>899000</v>
      </c>
      <c r="N30" s="10" t="n">
        <v>0</v>
      </c>
      <c r="O30" s="10" t="n">
        <v>0</v>
      </c>
      <c r="P30" s="10" t="n">
        <v>0</v>
      </c>
      <c r="Q30" s="10" t="n">
        <v>899000</v>
      </c>
      <c r="R30" s="10" t="n">
        <v>0</v>
      </c>
      <c r="S30" s="10" t="n">
        <v>0</v>
      </c>
      <c r="T30" s="7"/>
      <c r="U30" s="7"/>
      <c r="V30" s="7"/>
      <c r="W30" s="7" t="s">
        <v>43</v>
      </c>
      <c r="X30" s="7"/>
      <c r="Y30" s="7" t="s">
        <v>37</v>
      </c>
      <c r="Z30" s="7" t="s">
        <v>146</v>
      </c>
      <c r="AA30" s="7"/>
      <c r="AB30" s="10" t="n">
        <v>899000</v>
      </c>
      <c r="AC30" s="10" t="n">
        <v>1</v>
      </c>
    </row>
    <row r="31" customFormat="false" ht="15.75" hidden="true" customHeight="true" outlineLevel="0" collapsed="false">
      <c r="A31" s="6"/>
      <c r="B31" s="7" t="s">
        <v>129</v>
      </c>
      <c r="C31" s="7" t="s">
        <v>31</v>
      </c>
      <c r="D31" s="7" t="s">
        <v>32</v>
      </c>
      <c r="E31" s="7" t="s">
        <v>147</v>
      </c>
      <c r="F31" s="8" t="s">
        <v>148</v>
      </c>
      <c r="G31" s="9" t="n">
        <f aca="false">DATE(2000+VALUE(MID(F31,7,2)),VALUE(MID(F31,4,2)),VALUE(LEFT(F31,2)))</f>
        <v>45440</v>
      </c>
      <c r="H31" s="8" t="s">
        <v>139</v>
      </c>
      <c r="I31" s="9" t="n">
        <f aca="false">DATE(2000+VALUE(MID(H31,7,2)),VALUE(MID(H31,4,2)),VALUE(LEFT(H31,2)))</f>
        <v>45441</v>
      </c>
      <c r="J31" s="9"/>
      <c r="K31" s="10" t="n">
        <v>641656</v>
      </c>
      <c r="L31" s="10" t="n">
        <v>0</v>
      </c>
      <c r="M31" s="10" t="n">
        <v>641656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641656</v>
      </c>
      <c r="S31" s="10" t="n">
        <v>0</v>
      </c>
      <c r="T31" s="7"/>
      <c r="U31" s="7"/>
      <c r="V31" s="7"/>
      <c r="W31" s="7" t="s">
        <v>49</v>
      </c>
      <c r="X31" s="7"/>
      <c r="Y31" s="7" t="s">
        <v>37</v>
      </c>
      <c r="Z31" s="7" t="s">
        <v>149</v>
      </c>
      <c r="AA31" s="7" t="s">
        <v>150</v>
      </c>
      <c r="AB31" s="10" t="n">
        <v>641656</v>
      </c>
      <c r="AC31" s="10" t="n">
        <v>1</v>
      </c>
    </row>
    <row r="32" customFormat="false" ht="15.75" hidden="true" customHeight="true" outlineLevel="0" collapsed="false">
      <c r="A32" s="6"/>
      <c r="B32" s="7" t="s">
        <v>124</v>
      </c>
      <c r="C32" s="7" t="s">
        <v>31</v>
      </c>
      <c r="D32" s="7" t="s">
        <v>45</v>
      </c>
      <c r="E32" s="7" t="s">
        <v>151</v>
      </c>
      <c r="F32" s="8" t="s">
        <v>152</v>
      </c>
      <c r="G32" s="9" t="n">
        <f aca="false">DATE(2000+VALUE(MID(F32,7,2)),VALUE(MID(F32,4,2)),VALUE(LEFT(F32,2)))</f>
        <v>45440</v>
      </c>
      <c r="H32" s="8" t="s">
        <v>153</v>
      </c>
      <c r="I32" s="9" t="n">
        <f aca="false">DATE(2000+VALUE(MID(H32,7,2)),VALUE(MID(H32,4,2)),VALUE(LEFT(H32,2)))</f>
        <v>45441</v>
      </c>
      <c r="J32" s="9"/>
      <c r="K32" s="10" t="n">
        <v>467587</v>
      </c>
      <c r="L32" s="10" t="n">
        <v>39000</v>
      </c>
      <c r="M32" s="10" t="n">
        <v>506587</v>
      </c>
      <c r="N32" s="10" t="n">
        <v>0</v>
      </c>
      <c r="O32" s="10" t="n">
        <v>39000</v>
      </c>
      <c r="P32" s="10" t="n">
        <v>0</v>
      </c>
      <c r="Q32" s="10" t="n">
        <v>0</v>
      </c>
      <c r="R32" s="10" t="n">
        <v>467587</v>
      </c>
      <c r="S32" s="10" t="n">
        <v>0</v>
      </c>
      <c r="T32" s="7"/>
      <c r="U32" s="7"/>
      <c r="V32" s="7"/>
      <c r="W32" s="7" t="s">
        <v>36</v>
      </c>
      <c r="X32" s="7"/>
      <c r="Y32" s="7" t="s">
        <v>37</v>
      </c>
      <c r="Z32" s="7" t="s">
        <v>154</v>
      </c>
      <c r="AA32" s="7"/>
      <c r="AB32" s="10" t="n">
        <v>467587</v>
      </c>
      <c r="AC32" s="10" t="n">
        <v>1</v>
      </c>
    </row>
    <row r="33" customFormat="false" ht="15.75" hidden="true" customHeight="true" outlineLevel="0" collapsed="false">
      <c r="A33" s="6"/>
      <c r="B33" s="7" t="s">
        <v>155</v>
      </c>
      <c r="C33" s="7" t="s">
        <v>65</v>
      </c>
      <c r="D33" s="7" t="s">
        <v>156</v>
      </c>
      <c r="E33" s="7" t="s">
        <v>157</v>
      </c>
      <c r="F33" s="8" t="s">
        <v>158</v>
      </c>
      <c r="G33" s="9" t="n">
        <f aca="false">DATE(2000+VALUE(MID(F33,7,2)),VALUE(MID(F33,4,2)),VALUE(LEFT(F33,2)))</f>
        <v>45440</v>
      </c>
      <c r="H33" s="8" t="s">
        <v>153</v>
      </c>
      <c r="I33" s="9" t="n">
        <f aca="false">DATE(2000+VALUE(MID(H33,7,2)),VALUE(MID(H33,4,2)),VALUE(LEFT(H33,2)))</f>
        <v>45441</v>
      </c>
      <c r="J33" s="9"/>
      <c r="K33" s="10" t="n">
        <v>400000</v>
      </c>
      <c r="L33" s="10" t="n">
        <v>0</v>
      </c>
      <c r="M33" s="10" t="n">
        <v>400000</v>
      </c>
      <c r="N33" s="10" t="n">
        <v>0</v>
      </c>
      <c r="O33" s="10" t="n">
        <v>0</v>
      </c>
      <c r="P33" s="10" t="n">
        <v>0</v>
      </c>
      <c r="Q33" s="10" t="n">
        <v>400000</v>
      </c>
      <c r="R33" s="10" t="n">
        <v>0</v>
      </c>
      <c r="S33" s="10" t="n">
        <v>0</v>
      </c>
      <c r="T33" s="7"/>
      <c r="U33" s="7"/>
      <c r="V33" s="7"/>
      <c r="W33" s="7" t="s">
        <v>43</v>
      </c>
      <c r="X33" s="7"/>
      <c r="Y33" s="7" t="s">
        <v>37</v>
      </c>
      <c r="Z33" s="7" t="s">
        <v>159</v>
      </c>
      <c r="AA33" s="7"/>
      <c r="AB33" s="10" t="n">
        <v>400000</v>
      </c>
      <c r="AC33" s="10" t="n">
        <v>1</v>
      </c>
    </row>
    <row r="34" customFormat="false" ht="15.75" hidden="true" customHeight="true" outlineLevel="0" collapsed="false">
      <c r="A34" s="6"/>
      <c r="B34" s="7" t="s">
        <v>109</v>
      </c>
      <c r="C34" s="7" t="s">
        <v>71</v>
      </c>
      <c r="D34" s="7" t="s">
        <v>92</v>
      </c>
      <c r="E34" s="7" t="s">
        <v>137</v>
      </c>
      <c r="F34" s="8" t="s">
        <v>138</v>
      </c>
      <c r="G34" s="9" t="n">
        <f aca="false">DATE(2000+VALUE(MID(F34,7,2)),VALUE(MID(F34,4,2)),VALUE(LEFT(F34,2)))</f>
        <v>45439</v>
      </c>
      <c r="H34" s="8" t="s">
        <v>160</v>
      </c>
      <c r="I34" s="9" t="n">
        <f aca="false">DATE(2000+VALUE(MID(H34,7,2)),VALUE(MID(H34,4,2)),VALUE(LEFT(H34,2)))</f>
        <v>45441</v>
      </c>
      <c r="J34" s="9"/>
      <c r="K34" s="10" t="n">
        <v>1833334</v>
      </c>
      <c r="L34" s="10" t="n">
        <v>0</v>
      </c>
      <c r="M34" s="10" t="n">
        <v>1833334</v>
      </c>
      <c r="N34" s="10" t="n">
        <v>0</v>
      </c>
      <c r="O34" s="10" t="n">
        <v>580000</v>
      </c>
      <c r="P34" s="10" t="n">
        <v>0</v>
      </c>
      <c r="Q34" s="10" t="n">
        <v>1253334</v>
      </c>
      <c r="R34" s="10" t="n">
        <v>0</v>
      </c>
      <c r="S34" s="10" t="n">
        <v>0</v>
      </c>
      <c r="T34" s="7"/>
      <c r="U34" s="7"/>
      <c r="V34" s="7"/>
      <c r="W34" s="7" t="s">
        <v>43</v>
      </c>
      <c r="X34" s="7"/>
      <c r="Y34" s="7" t="s">
        <v>37</v>
      </c>
      <c r="Z34" s="7" t="s">
        <v>161</v>
      </c>
      <c r="AA34" s="7"/>
      <c r="AB34" s="10" t="n">
        <v>916667</v>
      </c>
      <c r="AC34" s="10" t="n">
        <v>2</v>
      </c>
    </row>
    <row r="35" customFormat="false" ht="15.75" hidden="true" customHeight="true" outlineLevel="0" collapsed="false">
      <c r="A35" s="6"/>
      <c r="B35" s="7" t="s">
        <v>109</v>
      </c>
      <c r="C35" s="7" t="s">
        <v>71</v>
      </c>
      <c r="D35" s="7" t="s">
        <v>72</v>
      </c>
      <c r="E35" s="7" t="s">
        <v>137</v>
      </c>
      <c r="F35" s="8" t="s">
        <v>138</v>
      </c>
      <c r="G35" s="9" t="n">
        <f aca="false">DATE(2000+VALUE(MID(F35,7,2)),VALUE(MID(F35,4,2)),VALUE(LEFT(F35,2)))</f>
        <v>45439</v>
      </c>
      <c r="H35" s="8" t="s">
        <v>162</v>
      </c>
      <c r="I35" s="9" t="n">
        <f aca="false">DATE(2000+VALUE(MID(H35,7,2)),VALUE(MID(H35,4,2)),VALUE(LEFT(H35,2)))</f>
        <v>45441</v>
      </c>
      <c r="J35" s="9"/>
      <c r="K35" s="10" t="n">
        <v>1833332</v>
      </c>
      <c r="L35" s="10" t="n">
        <v>0</v>
      </c>
      <c r="M35" s="10" t="n">
        <v>1833332</v>
      </c>
      <c r="N35" s="10" t="n">
        <v>0</v>
      </c>
      <c r="O35" s="10" t="n">
        <v>580000</v>
      </c>
      <c r="P35" s="10" t="n">
        <v>0</v>
      </c>
      <c r="Q35" s="10" t="n">
        <v>1253332</v>
      </c>
      <c r="R35" s="10" t="n">
        <v>0</v>
      </c>
      <c r="S35" s="10" t="n">
        <v>0</v>
      </c>
      <c r="T35" s="7"/>
      <c r="U35" s="7"/>
      <c r="V35" s="7"/>
      <c r="W35" s="7" t="s">
        <v>43</v>
      </c>
      <c r="X35" s="7"/>
      <c r="Y35" s="7" t="s">
        <v>37</v>
      </c>
      <c r="Z35" s="7" t="s">
        <v>140</v>
      </c>
      <c r="AA35" s="7"/>
      <c r="AB35" s="10" t="n">
        <v>916666</v>
      </c>
      <c r="AC35" s="10" t="n">
        <v>2</v>
      </c>
    </row>
    <row r="36" customFormat="false" ht="15.75" hidden="true" customHeight="true" outlineLevel="0" collapsed="false">
      <c r="A36" s="6"/>
      <c r="B36" s="7" t="s">
        <v>163</v>
      </c>
      <c r="C36" s="7" t="s">
        <v>60</v>
      </c>
      <c r="D36" s="7" t="s">
        <v>164</v>
      </c>
      <c r="E36" s="7" t="s">
        <v>165</v>
      </c>
      <c r="F36" s="8" t="s">
        <v>166</v>
      </c>
      <c r="G36" s="9" t="n">
        <f aca="false">DATE(2000+VALUE(MID(F36,7,2)),VALUE(MID(F36,4,2)),VALUE(LEFT(F36,2)))</f>
        <v>45441</v>
      </c>
      <c r="H36" s="8" t="s">
        <v>167</v>
      </c>
      <c r="I36" s="9" t="n">
        <f aca="false">DATE(2000+VALUE(MID(H36,7,2)),VALUE(MID(H36,4,2)),VALUE(LEFT(H36,2)))</f>
        <v>45441</v>
      </c>
      <c r="J36" s="9"/>
      <c r="K36" s="10" t="n">
        <v>400000</v>
      </c>
      <c r="L36" s="10" t="n">
        <v>0</v>
      </c>
      <c r="M36" s="10" t="n">
        <v>400000</v>
      </c>
      <c r="N36" s="10" t="n">
        <v>0</v>
      </c>
      <c r="O36" s="10" t="n">
        <v>0</v>
      </c>
      <c r="P36" s="10" t="n">
        <v>0</v>
      </c>
      <c r="Q36" s="10" t="n">
        <v>400000</v>
      </c>
      <c r="R36" s="10" t="n">
        <v>0</v>
      </c>
      <c r="S36" s="10" t="n">
        <v>0</v>
      </c>
      <c r="T36" s="7"/>
      <c r="U36" s="7"/>
      <c r="V36" s="7"/>
      <c r="W36" s="7" t="s">
        <v>43</v>
      </c>
      <c r="X36" s="7"/>
      <c r="Y36" s="7" t="s">
        <v>37</v>
      </c>
      <c r="Z36" s="7" t="s">
        <v>168</v>
      </c>
      <c r="AA36" s="7"/>
      <c r="AB36" s="10" t="n">
        <v>400000</v>
      </c>
      <c r="AC36" s="10" t="n">
        <v>1</v>
      </c>
    </row>
    <row r="37" customFormat="false" ht="15.75" hidden="true" customHeight="true" outlineLevel="0" collapsed="false">
      <c r="A37" s="6"/>
      <c r="B37" s="7" t="s">
        <v>146</v>
      </c>
      <c r="C37" s="7" t="s">
        <v>65</v>
      </c>
      <c r="D37" s="7" t="s">
        <v>87</v>
      </c>
      <c r="E37" s="7" t="s">
        <v>169</v>
      </c>
      <c r="F37" s="8" t="s">
        <v>170</v>
      </c>
      <c r="G37" s="9" t="n">
        <f aca="false">DATE(2000+VALUE(MID(F37,7,2)),VALUE(MID(F37,4,2)),VALUE(LEFT(F37,2)))</f>
        <v>45440</v>
      </c>
      <c r="H37" s="8" t="s">
        <v>171</v>
      </c>
      <c r="I37" s="9" t="n">
        <f aca="false">DATE(2000+VALUE(MID(H37,7,2)),VALUE(MID(H37,4,2)),VALUE(LEFT(H37,2)))</f>
        <v>45442</v>
      </c>
      <c r="J37" s="9"/>
      <c r="K37" s="10" t="n">
        <v>990000</v>
      </c>
      <c r="L37" s="10" t="n">
        <v>0</v>
      </c>
      <c r="M37" s="10" t="n">
        <v>990000</v>
      </c>
      <c r="N37" s="10" t="n">
        <v>0</v>
      </c>
      <c r="O37" s="10" t="n">
        <v>495000</v>
      </c>
      <c r="P37" s="10" t="n">
        <v>0</v>
      </c>
      <c r="Q37" s="10" t="n">
        <v>495000</v>
      </c>
      <c r="R37" s="10" t="n">
        <v>0</v>
      </c>
      <c r="S37" s="10" t="n">
        <v>0</v>
      </c>
      <c r="T37" s="7"/>
      <c r="U37" s="7"/>
      <c r="V37" s="7"/>
      <c r="W37" s="7" t="s">
        <v>43</v>
      </c>
      <c r="X37" s="7"/>
      <c r="Y37" s="7" t="s">
        <v>37</v>
      </c>
      <c r="Z37" s="7" t="s">
        <v>172</v>
      </c>
      <c r="AA37" s="7"/>
      <c r="AB37" s="10" t="n">
        <v>495000</v>
      </c>
      <c r="AC37" s="10" t="n">
        <v>2</v>
      </c>
    </row>
    <row r="38" customFormat="false" ht="15.75" hidden="true" customHeight="true" outlineLevel="0" collapsed="false">
      <c r="A38" s="6"/>
      <c r="B38" s="7" t="s">
        <v>149</v>
      </c>
      <c r="C38" s="7" t="s">
        <v>60</v>
      </c>
      <c r="D38" s="7" t="s">
        <v>173</v>
      </c>
      <c r="E38" s="7" t="s">
        <v>174</v>
      </c>
      <c r="F38" s="8" t="s">
        <v>175</v>
      </c>
      <c r="G38" s="9" t="n">
        <f aca="false">DATE(2000+VALUE(MID(F38,7,2)),VALUE(MID(F38,4,2)),VALUE(LEFT(F38,2)))</f>
        <v>45440</v>
      </c>
      <c r="H38" s="8" t="s">
        <v>176</v>
      </c>
      <c r="I38" s="9" t="n">
        <f aca="false">DATE(2000+VALUE(MID(H38,7,2)),VALUE(MID(H38,4,2)),VALUE(LEFT(H38,2)))</f>
        <v>45442</v>
      </c>
      <c r="J38" s="9"/>
      <c r="K38" s="10" t="n">
        <v>1100000</v>
      </c>
      <c r="L38" s="10" t="n">
        <v>0</v>
      </c>
      <c r="M38" s="10" t="n">
        <v>1100000</v>
      </c>
      <c r="N38" s="10" t="n">
        <v>0</v>
      </c>
      <c r="O38" s="10" t="n">
        <v>1100000</v>
      </c>
      <c r="P38" s="10" t="n">
        <v>0</v>
      </c>
      <c r="Q38" s="10" t="n">
        <v>0</v>
      </c>
      <c r="R38" s="10" t="n">
        <v>0</v>
      </c>
      <c r="S38" s="10" t="n">
        <v>0</v>
      </c>
      <c r="T38" s="7"/>
      <c r="U38" s="7"/>
      <c r="V38" s="7"/>
      <c r="W38" s="7" t="s">
        <v>43</v>
      </c>
      <c r="X38" s="7"/>
      <c r="Y38" s="7" t="s">
        <v>37</v>
      </c>
      <c r="Z38" s="7" t="s">
        <v>177</v>
      </c>
      <c r="AA38" s="7"/>
      <c r="AB38" s="10" t="n">
        <v>550000</v>
      </c>
      <c r="AC38" s="10" t="n">
        <v>2</v>
      </c>
    </row>
    <row r="39" customFormat="false" ht="15.75" hidden="true" customHeight="true" outlineLevel="0" collapsed="false">
      <c r="A39" s="6"/>
      <c r="B39" s="7" t="s">
        <v>159</v>
      </c>
      <c r="C39" s="7" t="s">
        <v>65</v>
      </c>
      <c r="D39" s="7" t="s">
        <v>66</v>
      </c>
      <c r="E39" s="7" t="s">
        <v>178</v>
      </c>
      <c r="F39" s="8" t="s">
        <v>179</v>
      </c>
      <c r="G39" s="9" t="n">
        <f aca="false">DATE(2000+VALUE(MID(F39,7,2)),VALUE(MID(F39,4,2)),VALUE(LEFT(F39,2)))</f>
        <v>45441</v>
      </c>
      <c r="H39" s="8" t="s">
        <v>180</v>
      </c>
      <c r="I39" s="9" t="n">
        <f aca="false">DATE(2000+VALUE(MID(H39,7,2)),VALUE(MID(H39,4,2)),VALUE(LEFT(H39,2)))</f>
        <v>45442</v>
      </c>
      <c r="J39" s="9"/>
      <c r="K39" s="10" t="n">
        <v>495000</v>
      </c>
      <c r="L39" s="10" t="n">
        <v>19000</v>
      </c>
      <c r="M39" s="10" t="n">
        <v>514000</v>
      </c>
      <c r="N39" s="10" t="n">
        <v>0</v>
      </c>
      <c r="O39" s="10" t="n">
        <v>264000</v>
      </c>
      <c r="P39" s="10" t="n">
        <v>0</v>
      </c>
      <c r="Q39" s="10" t="n">
        <v>250000</v>
      </c>
      <c r="R39" s="10" t="n">
        <v>0</v>
      </c>
      <c r="S39" s="10" t="n">
        <v>0</v>
      </c>
      <c r="T39" s="7"/>
      <c r="U39" s="7"/>
      <c r="V39" s="7"/>
      <c r="W39" s="7" t="s">
        <v>54</v>
      </c>
      <c r="X39" s="7"/>
      <c r="Y39" s="7" t="s">
        <v>37</v>
      </c>
      <c r="Z39" s="7" t="s">
        <v>181</v>
      </c>
      <c r="AA39" s="7"/>
      <c r="AB39" s="10" t="n">
        <v>495000</v>
      </c>
      <c r="AC39" s="10" t="n">
        <v>1</v>
      </c>
    </row>
    <row r="40" customFormat="false" ht="15.75" hidden="true" customHeight="true" outlineLevel="0" collapsed="false">
      <c r="A40" s="6"/>
      <c r="B40" s="7" t="s">
        <v>168</v>
      </c>
      <c r="C40" s="7" t="s">
        <v>65</v>
      </c>
      <c r="D40" s="7" t="s">
        <v>156</v>
      </c>
      <c r="E40" s="7" t="s">
        <v>182</v>
      </c>
      <c r="F40" s="8" t="s">
        <v>183</v>
      </c>
      <c r="G40" s="9" t="n">
        <f aca="false">DATE(2000+VALUE(MID(F40,7,2)),VALUE(MID(F40,4,2)),VALUE(LEFT(F40,2)))</f>
        <v>45442</v>
      </c>
      <c r="H40" s="8" t="s">
        <v>184</v>
      </c>
      <c r="I40" s="9" t="n">
        <f aca="false">DATE(2000+VALUE(MID(H40,7,2)),VALUE(MID(H40,4,2)),VALUE(LEFT(H40,2)))</f>
        <v>45442</v>
      </c>
      <c r="J40" s="9"/>
      <c r="K40" s="10" t="n">
        <v>349000</v>
      </c>
      <c r="L40" s="10" t="n">
        <v>0</v>
      </c>
      <c r="M40" s="10" t="n">
        <v>349000</v>
      </c>
      <c r="N40" s="10" t="n">
        <v>0</v>
      </c>
      <c r="O40" s="10" t="n">
        <v>349000</v>
      </c>
      <c r="P40" s="10" t="n">
        <v>0</v>
      </c>
      <c r="Q40" s="10" t="n">
        <v>0</v>
      </c>
      <c r="R40" s="10" t="n">
        <v>0</v>
      </c>
      <c r="S40" s="10" t="n">
        <v>0</v>
      </c>
      <c r="T40" s="7"/>
      <c r="U40" s="7"/>
      <c r="V40" s="7"/>
      <c r="W40" s="7" t="s">
        <v>43</v>
      </c>
      <c r="X40" s="7"/>
      <c r="Y40" s="7" t="s">
        <v>37</v>
      </c>
      <c r="Z40" s="7" t="s">
        <v>185</v>
      </c>
      <c r="AA40" s="7"/>
      <c r="AB40" s="10" t="n">
        <v>349000</v>
      </c>
      <c r="AC40" s="10" t="n">
        <v>1</v>
      </c>
    </row>
    <row r="41" customFormat="false" ht="15.75" hidden="true" customHeight="true" outlineLevel="0" collapsed="false">
      <c r="A41" s="6"/>
      <c r="B41" s="7" t="s">
        <v>114</v>
      </c>
      <c r="C41" s="7" t="s">
        <v>60</v>
      </c>
      <c r="D41" s="7" t="s">
        <v>61</v>
      </c>
      <c r="E41" s="7" t="s">
        <v>186</v>
      </c>
      <c r="F41" s="8" t="s">
        <v>187</v>
      </c>
      <c r="G41" s="9" t="n">
        <f aca="false">DATE(2000+VALUE(MID(F41,7,2)),VALUE(MID(F41,4,2)),VALUE(LEFT(F41,2)))</f>
        <v>45439</v>
      </c>
      <c r="H41" s="8" t="s">
        <v>188</v>
      </c>
      <c r="I41" s="9" t="n">
        <f aca="false">DATE(2000+VALUE(MID(H41,7,2)),VALUE(MID(H41,4,2)),VALUE(LEFT(H41,2)))</f>
        <v>45442</v>
      </c>
      <c r="J41" s="9"/>
      <c r="K41" s="10" t="n">
        <v>1912000</v>
      </c>
      <c r="L41" s="10" t="n">
        <v>57000</v>
      </c>
      <c r="M41" s="10" t="n">
        <v>1969000</v>
      </c>
      <c r="N41" s="10" t="n">
        <v>0</v>
      </c>
      <c r="O41" s="10" t="n">
        <v>217000</v>
      </c>
      <c r="P41" s="10" t="n">
        <v>0</v>
      </c>
      <c r="Q41" s="10" t="n">
        <v>1752000</v>
      </c>
      <c r="R41" s="10" t="n">
        <v>0</v>
      </c>
      <c r="S41" s="10" t="n">
        <v>0</v>
      </c>
      <c r="T41" s="7"/>
      <c r="U41" s="7"/>
      <c r="V41" s="7"/>
      <c r="W41" s="7" t="s">
        <v>54</v>
      </c>
      <c r="X41" s="7"/>
      <c r="Y41" s="7" t="s">
        <v>37</v>
      </c>
      <c r="Z41" s="7" t="s">
        <v>143</v>
      </c>
      <c r="AA41" s="7"/>
      <c r="AB41" s="10" t="n">
        <v>637333.3333</v>
      </c>
      <c r="AC41" s="10" t="n">
        <v>3</v>
      </c>
    </row>
    <row r="42" customFormat="false" ht="15.75" hidden="true" customHeight="true" outlineLevel="0" collapsed="false">
      <c r="A42" s="6"/>
      <c r="B42" s="7" t="s">
        <v>189</v>
      </c>
      <c r="C42" s="7" t="s">
        <v>65</v>
      </c>
      <c r="D42" s="7" t="s">
        <v>87</v>
      </c>
      <c r="E42" s="7" t="s">
        <v>190</v>
      </c>
      <c r="F42" s="8" t="s">
        <v>191</v>
      </c>
      <c r="G42" s="9" t="n">
        <f aca="false">DATE(2000+VALUE(MID(F42,7,2)),VALUE(MID(F42,4,2)),VALUE(LEFT(F42,2)))</f>
        <v>45442</v>
      </c>
      <c r="H42" s="8" t="s">
        <v>192</v>
      </c>
      <c r="I42" s="9" t="n">
        <f aca="false">DATE(2000+VALUE(MID(H42,7,2)),VALUE(MID(H42,4,2)),VALUE(LEFT(H42,2)))</f>
        <v>45443</v>
      </c>
      <c r="J42" s="9"/>
      <c r="K42" s="10" t="n">
        <v>349000</v>
      </c>
      <c r="L42" s="10" t="n">
        <v>0</v>
      </c>
      <c r="M42" s="10" t="n">
        <v>349000</v>
      </c>
      <c r="N42" s="10" t="n">
        <v>0</v>
      </c>
      <c r="O42" s="10" t="n">
        <v>349000</v>
      </c>
      <c r="P42" s="10" t="n">
        <v>0</v>
      </c>
      <c r="Q42" s="10" t="n">
        <v>0</v>
      </c>
      <c r="R42" s="10" t="n">
        <v>0</v>
      </c>
      <c r="S42" s="10" t="n">
        <v>0</v>
      </c>
      <c r="T42" s="7"/>
      <c r="U42" s="7"/>
      <c r="V42" s="7"/>
      <c r="W42" s="7" t="s">
        <v>43</v>
      </c>
      <c r="X42" s="7"/>
      <c r="Y42" s="7" t="s">
        <v>37</v>
      </c>
      <c r="Z42" s="7" t="s">
        <v>193</v>
      </c>
      <c r="AA42" s="7"/>
      <c r="AB42" s="10" t="n">
        <v>349000</v>
      </c>
      <c r="AC42" s="10" t="n">
        <v>1</v>
      </c>
    </row>
    <row r="43" customFormat="false" ht="15.75" hidden="true" customHeight="true" outlineLevel="0" collapsed="false">
      <c r="A43" s="6"/>
      <c r="B43" s="7" t="s">
        <v>154</v>
      </c>
      <c r="C43" s="7" t="s">
        <v>65</v>
      </c>
      <c r="D43" s="7" t="s">
        <v>96</v>
      </c>
      <c r="E43" s="7" t="s">
        <v>194</v>
      </c>
      <c r="F43" s="8" t="s">
        <v>195</v>
      </c>
      <c r="G43" s="9" t="n">
        <f aca="false">DATE(2000+VALUE(MID(F43,7,2)),VALUE(MID(F43,4,2)),VALUE(LEFT(F43,2)))</f>
        <v>45440</v>
      </c>
      <c r="H43" s="8" t="s">
        <v>196</v>
      </c>
      <c r="I43" s="9" t="n">
        <f aca="false">DATE(2000+VALUE(MID(H43,7,2)),VALUE(MID(H43,4,2)),VALUE(LEFT(H43,2)))</f>
        <v>45443</v>
      </c>
      <c r="J43" s="9"/>
      <c r="K43" s="10" t="n">
        <v>1290000</v>
      </c>
      <c r="L43" s="10" t="n">
        <v>0</v>
      </c>
      <c r="M43" s="10" t="n">
        <v>1290000</v>
      </c>
      <c r="N43" s="10" t="n">
        <v>0</v>
      </c>
      <c r="O43" s="10" t="n">
        <v>0</v>
      </c>
      <c r="P43" s="10" t="n">
        <v>0</v>
      </c>
      <c r="Q43" s="10" t="n">
        <v>840000</v>
      </c>
      <c r="R43" s="10" t="n">
        <v>450000</v>
      </c>
      <c r="S43" s="10" t="n">
        <v>0</v>
      </c>
      <c r="T43" s="7"/>
      <c r="U43" s="7"/>
      <c r="V43" s="7"/>
      <c r="W43" s="7" t="s">
        <v>43</v>
      </c>
      <c r="X43" s="7"/>
      <c r="Y43" s="7" t="s">
        <v>37</v>
      </c>
      <c r="Z43" s="7" t="s">
        <v>155</v>
      </c>
      <c r="AA43" s="7"/>
      <c r="AB43" s="10" t="n">
        <v>430000</v>
      </c>
      <c r="AC43" s="10" t="n">
        <v>3</v>
      </c>
    </row>
    <row r="44" customFormat="false" ht="15.75" hidden="true" customHeight="true" outlineLevel="0" collapsed="false">
      <c r="A44" s="6"/>
      <c r="B44" s="7" t="s">
        <v>197</v>
      </c>
      <c r="C44" s="7" t="s">
        <v>65</v>
      </c>
      <c r="D44" s="7" t="s">
        <v>156</v>
      </c>
      <c r="E44" s="7" t="s">
        <v>198</v>
      </c>
      <c r="F44" s="8" t="s">
        <v>199</v>
      </c>
      <c r="G44" s="9" t="n">
        <f aca="false">DATE(2000+VALUE(MID(F44,7,2)),VALUE(MID(F44,4,2)),VALUE(LEFT(F44,2)))</f>
        <v>45442</v>
      </c>
      <c r="H44" s="8" t="s">
        <v>200</v>
      </c>
      <c r="I44" s="9" t="n">
        <f aca="false">DATE(2000+VALUE(MID(H44,7,2)),VALUE(MID(H44,4,2)),VALUE(LEFT(H44,2)))</f>
        <v>45443</v>
      </c>
      <c r="J44" s="9"/>
      <c r="K44" s="10" t="n">
        <v>490000</v>
      </c>
      <c r="L44" s="10" t="n">
        <v>0</v>
      </c>
      <c r="M44" s="10" t="n">
        <v>490000</v>
      </c>
      <c r="N44" s="10" t="n">
        <v>0</v>
      </c>
      <c r="O44" s="10" t="n">
        <v>0</v>
      </c>
      <c r="P44" s="10" t="n">
        <v>0</v>
      </c>
      <c r="Q44" s="10" t="n">
        <v>490000</v>
      </c>
      <c r="R44" s="10" t="n">
        <v>0</v>
      </c>
      <c r="S44" s="10" t="n">
        <v>0</v>
      </c>
      <c r="T44" s="7"/>
      <c r="U44" s="7"/>
      <c r="V44" s="7"/>
      <c r="W44" s="7" t="s">
        <v>43</v>
      </c>
      <c r="X44" s="7"/>
      <c r="Y44" s="7" t="s">
        <v>37</v>
      </c>
      <c r="Z44" s="7" t="s">
        <v>201</v>
      </c>
      <c r="AA44" s="7"/>
      <c r="AB44" s="10" t="n">
        <v>490000</v>
      </c>
      <c r="AC44" s="10" t="n">
        <v>1</v>
      </c>
    </row>
    <row r="45" customFormat="false" ht="15.75" hidden="true" customHeight="true" outlineLevel="0" collapsed="false">
      <c r="A45" s="6"/>
      <c r="B45" s="7" t="s">
        <v>197</v>
      </c>
      <c r="C45" s="7" t="s">
        <v>60</v>
      </c>
      <c r="D45" s="7" t="s">
        <v>173</v>
      </c>
      <c r="E45" s="7" t="s">
        <v>202</v>
      </c>
      <c r="F45" s="8" t="s">
        <v>199</v>
      </c>
      <c r="G45" s="9" t="n">
        <f aca="false">DATE(2000+VALUE(MID(F45,7,2)),VALUE(MID(F45,4,2)),VALUE(LEFT(F45,2)))</f>
        <v>45442</v>
      </c>
      <c r="H45" s="8" t="s">
        <v>200</v>
      </c>
      <c r="I45" s="9" t="n">
        <f aca="false">DATE(2000+VALUE(MID(H45,7,2)),VALUE(MID(H45,4,2)),VALUE(LEFT(H45,2)))</f>
        <v>45443</v>
      </c>
      <c r="J45" s="9"/>
      <c r="K45" s="10" t="n">
        <v>490000</v>
      </c>
      <c r="L45" s="10" t="n">
        <v>0</v>
      </c>
      <c r="M45" s="10" t="n">
        <v>490000</v>
      </c>
      <c r="N45" s="10" t="n">
        <v>0</v>
      </c>
      <c r="O45" s="10" t="n">
        <v>0</v>
      </c>
      <c r="P45" s="10" t="n">
        <v>0</v>
      </c>
      <c r="Q45" s="10" t="n">
        <v>490000</v>
      </c>
      <c r="R45" s="10" t="n">
        <v>0</v>
      </c>
      <c r="S45" s="10" t="n">
        <v>0</v>
      </c>
      <c r="T45" s="7"/>
      <c r="U45" s="7"/>
      <c r="V45" s="7"/>
      <c r="W45" s="7" t="s">
        <v>43</v>
      </c>
      <c r="X45" s="7"/>
      <c r="Y45" s="7" t="s">
        <v>37</v>
      </c>
      <c r="Z45" s="7" t="s">
        <v>203</v>
      </c>
      <c r="AA45" s="7"/>
      <c r="AB45" s="10" t="n">
        <v>490000</v>
      </c>
      <c r="AC45" s="10" t="n">
        <v>1</v>
      </c>
    </row>
    <row r="46" customFormat="false" ht="15.75" hidden="true" customHeight="true" outlineLevel="0" collapsed="false">
      <c r="A46" s="6"/>
      <c r="B46" s="7" t="s">
        <v>204</v>
      </c>
      <c r="C46" s="7" t="s">
        <v>65</v>
      </c>
      <c r="D46" s="7" t="s">
        <v>76</v>
      </c>
      <c r="E46" s="7" t="s">
        <v>205</v>
      </c>
      <c r="F46" s="8" t="s">
        <v>206</v>
      </c>
      <c r="G46" s="9" t="n">
        <f aca="false">DATE(2000+VALUE(MID(F46,7,2)),VALUE(MID(F46,4,2)),VALUE(LEFT(F46,2)))</f>
        <v>45438</v>
      </c>
      <c r="H46" s="8" t="s">
        <v>207</v>
      </c>
      <c r="I46" s="9" t="n">
        <f aca="false">DATE(2000+VALUE(MID(H46,7,2)),VALUE(MID(H46,4,2)),VALUE(LEFT(H46,2)))</f>
        <v>45443</v>
      </c>
      <c r="J46" s="9"/>
      <c r="K46" s="10" t="n">
        <v>2475000</v>
      </c>
      <c r="L46" s="10" t="n">
        <v>0</v>
      </c>
      <c r="M46" s="10" t="n">
        <v>2475000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2475000</v>
      </c>
      <c r="S46" s="10" t="n">
        <v>0</v>
      </c>
      <c r="T46" s="7"/>
      <c r="U46" s="7"/>
      <c r="V46" s="7"/>
      <c r="W46" s="7" t="s">
        <v>43</v>
      </c>
      <c r="X46" s="7"/>
      <c r="Y46" s="7" t="s">
        <v>37</v>
      </c>
      <c r="Z46" s="7" t="s">
        <v>204</v>
      </c>
      <c r="AA46" s="7"/>
      <c r="AB46" s="10" t="n">
        <v>495000</v>
      </c>
      <c r="AC46" s="10" t="n">
        <v>5</v>
      </c>
    </row>
    <row r="47" customFormat="false" ht="15.75" hidden="true" customHeight="true" outlineLevel="0" collapsed="false">
      <c r="A47" s="6"/>
      <c r="B47" s="7" t="s">
        <v>208</v>
      </c>
      <c r="C47" s="7" t="s">
        <v>209</v>
      </c>
      <c r="D47" s="7" t="s">
        <v>209</v>
      </c>
      <c r="E47" s="7" t="s">
        <v>210</v>
      </c>
      <c r="F47" s="8" t="s">
        <v>211</v>
      </c>
      <c r="G47" s="9" t="n">
        <f aca="false">DATE(2000+VALUE(MID(F47,7,2)),VALUE(MID(F47,4,2)),VALUE(LEFT(F47,2)))</f>
        <v>45430</v>
      </c>
      <c r="H47" s="8" t="s">
        <v>212</v>
      </c>
      <c r="I47" s="9" t="n">
        <f aca="false">DATE(2000+VALUE(MID(H47,7,2)),VALUE(MID(H47,4,2)),VALUE(LEFT(H47,2)))</f>
        <v>45444</v>
      </c>
      <c r="J47" s="9"/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7"/>
      <c r="U47" s="7"/>
      <c r="V47" s="7"/>
      <c r="W47" s="7" t="s">
        <v>36</v>
      </c>
      <c r="X47" s="7"/>
      <c r="Y47" s="7" t="s">
        <v>37</v>
      </c>
      <c r="Z47" s="7" t="s">
        <v>208</v>
      </c>
      <c r="AA47" s="7"/>
      <c r="AB47" s="10" t="n">
        <v>0</v>
      </c>
      <c r="AC47" s="10" t="n">
        <v>14</v>
      </c>
    </row>
    <row r="48" customFormat="false" ht="15.75" hidden="true" customHeight="true" outlineLevel="0" collapsed="false">
      <c r="A48" s="6"/>
      <c r="B48" s="7" t="s">
        <v>213</v>
      </c>
      <c r="C48" s="7" t="s">
        <v>65</v>
      </c>
      <c r="D48" s="7" t="s">
        <v>82</v>
      </c>
      <c r="E48" s="12" t="s">
        <v>214</v>
      </c>
      <c r="F48" s="8" t="s">
        <v>215</v>
      </c>
      <c r="G48" s="9" t="n">
        <f aca="false">DATE(2000+VALUE(MID(F48,7,2)),VALUE(MID(F48,4,2)),VALUE(LEFT(F48,2)))</f>
        <v>45441</v>
      </c>
      <c r="H48" s="8" t="s">
        <v>216</v>
      </c>
      <c r="I48" s="9" t="n">
        <f aca="false">DATE(2000+VALUE(MID(H48,7,2)),VALUE(MID(H48,4,2)),VALUE(LEFT(H48,2)))</f>
        <v>45444</v>
      </c>
      <c r="J48" s="9"/>
      <c r="K48" s="10" t="n">
        <v>1246225</v>
      </c>
      <c r="L48" s="10" t="n">
        <v>0</v>
      </c>
      <c r="M48" s="10" t="n">
        <v>1246225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1246225</v>
      </c>
      <c r="S48" s="10" t="n">
        <v>0</v>
      </c>
      <c r="T48" s="7"/>
      <c r="U48" s="7"/>
      <c r="V48" s="7"/>
      <c r="W48" s="7" t="s">
        <v>49</v>
      </c>
      <c r="X48" s="7"/>
      <c r="Y48" s="7" t="s">
        <v>37</v>
      </c>
      <c r="Z48" s="7" t="s">
        <v>213</v>
      </c>
      <c r="AA48" s="7" t="s">
        <v>217</v>
      </c>
      <c r="AB48" s="10" t="n">
        <v>415408.3333</v>
      </c>
      <c r="AC48" s="10" t="n">
        <v>3</v>
      </c>
    </row>
    <row r="49" customFormat="false" ht="15.75" hidden="true" customHeight="true" outlineLevel="0" collapsed="false">
      <c r="A49" s="6"/>
      <c r="B49" s="7" t="s">
        <v>218</v>
      </c>
      <c r="C49" s="7" t="s">
        <v>31</v>
      </c>
      <c r="D49" s="7" t="s">
        <v>105</v>
      </c>
      <c r="E49" s="7" t="s">
        <v>219</v>
      </c>
      <c r="F49" s="8" t="s">
        <v>220</v>
      </c>
      <c r="G49" s="9" t="n">
        <f aca="false">DATE(2000+VALUE(MID(F49,7,2)),VALUE(MID(F49,4,2)),VALUE(LEFT(F49,2)))</f>
        <v>45443</v>
      </c>
      <c r="H49" s="8" t="s">
        <v>221</v>
      </c>
      <c r="I49" s="9" t="n">
        <f aca="false">DATE(2000+VALUE(MID(H49,7,2)),VALUE(MID(H49,4,2)),VALUE(LEFT(H49,2)))</f>
        <v>45444</v>
      </c>
      <c r="J49" s="9"/>
      <c r="K49" s="10" t="n">
        <v>557000</v>
      </c>
      <c r="L49" s="10" t="n">
        <v>180000</v>
      </c>
      <c r="M49" s="10" t="n">
        <v>737000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737000</v>
      </c>
      <c r="S49" s="10" t="n">
        <v>0</v>
      </c>
      <c r="T49" s="7"/>
      <c r="U49" s="7"/>
      <c r="V49" s="7"/>
      <c r="W49" s="7" t="s">
        <v>222</v>
      </c>
      <c r="X49" s="7"/>
      <c r="Y49" s="7" t="s">
        <v>37</v>
      </c>
      <c r="Z49" s="7" t="s">
        <v>223</v>
      </c>
      <c r="AA49" s="7" t="s">
        <v>224</v>
      </c>
      <c r="AB49" s="10" t="n">
        <v>557000</v>
      </c>
      <c r="AC49" s="10" t="n">
        <v>1</v>
      </c>
    </row>
    <row r="50" customFormat="false" ht="15.75" hidden="true" customHeight="true" outlineLevel="0" collapsed="false">
      <c r="A50" s="6"/>
      <c r="B50" s="7" t="s">
        <v>225</v>
      </c>
      <c r="C50" s="7" t="s">
        <v>60</v>
      </c>
      <c r="D50" s="7" t="s">
        <v>164</v>
      </c>
      <c r="E50" s="7" t="s">
        <v>226</v>
      </c>
      <c r="F50" s="8" t="s">
        <v>227</v>
      </c>
      <c r="G50" s="9" t="n">
        <f aca="false">DATE(2000+VALUE(MID(F50,7,2)),VALUE(MID(F50,4,2)),VALUE(LEFT(F50,2)))</f>
        <v>45442</v>
      </c>
      <c r="H50" s="8" t="s">
        <v>228</v>
      </c>
      <c r="I50" s="9" t="n">
        <f aca="false">DATE(2000+VALUE(MID(H50,7,2)),VALUE(MID(H50,4,2)),VALUE(LEFT(H50,2)))</f>
        <v>45444</v>
      </c>
      <c r="J50" s="9"/>
      <c r="K50" s="10" t="n">
        <v>1418000</v>
      </c>
      <c r="L50" s="10" t="n">
        <v>0</v>
      </c>
      <c r="M50" s="10" t="n">
        <v>1418000</v>
      </c>
      <c r="N50" s="10" t="n">
        <v>0</v>
      </c>
      <c r="O50" s="10" t="n">
        <v>0</v>
      </c>
      <c r="P50" s="10" t="n">
        <v>0</v>
      </c>
      <c r="Q50" s="10" t="n">
        <v>1418000</v>
      </c>
      <c r="R50" s="10" t="n">
        <v>0</v>
      </c>
      <c r="S50" s="10" t="n">
        <v>0</v>
      </c>
      <c r="T50" s="7"/>
      <c r="U50" s="7"/>
      <c r="V50" s="7"/>
      <c r="W50" s="7" t="s">
        <v>54</v>
      </c>
      <c r="X50" s="7"/>
      <c r="Y50" s="7" t="s">
        <v>37</v>
      </c>
      <c r="Z50" s="7" t="s">
        <v>229</v>
      </c>
      <c r="AA50" s="7"/>
      <c r="AB50" s="10" t="n">
        <v>709000</v>
      </c>
      <c r="AC50" s="10" t="n">
        <v>2</v>
      </c>
    </row>
    <row r="51" customFormat="false" ht="15.75" hidden="true" customHeight="true" outlineLevel="0" collapsed="false">
      <c r="A51" s="6"/>
      <c r="B51" s="7" t="s">
        <v>177</v>
      </c>
      <c r="C51" s="7" t="s">
        <v>65</v>
      </c>
      <c r="D51" s="7" t="s">
        <v>96</v>
      </c>
      <c r="E51" s="7" t="s">
        <v>230</v>
      </c>
      <c r="F51" s="8" t="s">
        <v>231</v>
      </c>
      <c r="G51" s="9" t="n">
        <f aca="false">DATE(2000+VALUE(MID(F51,7,2)),VALUE(MID(F51,4,2)),VALUE(LEFT(F51,2)))</f>
        <v>45443</v>
      </c>
      <c r="H51" s="8" t="s">
        <v>232</v>
      </c>
      <c r="I51" s="9" t="n">
        <f aca="false">DATE(2000+VALUE(MID(H51,7,2)),VALUE(MID(H51,4,2)),VALUE(LEFT(H51,2)))</f>
        <v>45445</v>
      </c>
      <c r="J51" s="9"/>
      <c r="K51" s="10" t="n">
        <v>945000</v>
      </c>
      <c r="L51" s="10" t="n">
        <v>0</v>
      </c>
      <c r="M51" s="10" t="n">
        <v>945000</v>
      </c>
      <c r="N51" s="10" t="n">
        <v>0</v>
      </c>
      <c r="O51" s="10" t="n">
        <v>0</v>
      </c>
      <c r="P51" s="10" t="n">
        <v>0</v>
      </c>
      <c r="Q51" s="10" t="n">
        <v>945000</v>
      </c>
      <c r="R51" s="10" t="n">
        <v>0</v>
      </c>
      <c r="S51" s="10" t="n">
        <v>0</v>
      </c>
      <c r="T51" s="7"/>
      <c r="U51" s="7"/>
      <c r="V51" s="7"/>
      <c r="W51" s="7" t="s">
        <v>43</v>
      </c>
      <c r="X51" s="7"/>
      <c r="Y51" s="7" t="s">
        <v>37</v>
      </c>
      <c r="Z51" s="7" t="s">
        <v>163</v>
      </c>
      <c r="AA51" s="7"/>
      <c r="AB51" s="10" t="n">
        <v>472500</v>
      </c>
      <c r="AC51" s="10" t="n">
        <v>2</v>
      </c>
    </row>
    <row r="52" customFormat="false" ht="15.75" hidden="true" customHeight="true" outlineLevel="0" collapsed="false">
      <c r="A52" s="6"/>
      <c r="B52" s="7" t="s">
        <v>201</v>
      </c>
      <c r="C52" s="7" t="s">
        <v>65</v>
      </c>
      <c r="D52" s="7" t="s">
        <v>82</v>
      </c>
      <c r="E52" s="7" t="s">
        <v>233</v>
      </c>
      <c r="F52" s="8" t="s">
        <v>234</v>
      </c>
      <c r="G52" s="9" t="n">
        <f aca="false">DATE(2000+VALUE(MID(F52,7,2)),VALUE(MID(F52,4,2)),VALUE(LEFT(F52,2)))</f>
        <v>45444</v>
      </c>
      <c r="H52" s="8" t="s">
        <v>232</v>
      </c>
      <c r="I52" s="9" t="n">
        <f aca="false">DATE(2000+VALUE(MID(H52,7,2)),VALUE(MID(H52,4,2)),VALUE(LEFT(H52,2)))</f>
        <v>45445</v>
      </c>
      <c r="J52" s="9"/>
      <c r="K52" s="10" t="n">
        <v>580000</v>
      </c>
      <c r="L52" s="10" t="n">
        <v>0</v>
      </c>
      <c r="M52" s="10" t="n">
        <v>580000</v>
      </c>
      <c r="N52" s="10" t="n">
        <v>0</v>
      </c>
      <c r="O52" s="10" t="n">
        <v>580000</v>
      </c>
      <c r="P52" s="10" t="n">
        <v>0</v>
      </c>
      <c r="Q52" s="10" t="n">
        <v>0</v>
      </c>
      <c r="R52" s="10" t="n">
        <v>0</v>
      </c>
      <c r="S52" s="10" t="n">
        <v>0</v>
      </c>
      <c r="T52" s="7"/>
      <c r="U52" s="7"/>
      <c r="V52" s="7"/>
      <c r="W52" s="7" t="s">
        <v>43</v>
      </c>
      <c r="X52" s="7"/>
      <c r="Y52" s="7" t="s">
        <v>37</v>
      </c>
      <c r="Z52" s="7" t="s">
        <v>235</v>
      </c>
      <c r="AA52" s="7"/>
      <c r="AB52" s="10" t="n">
        <v>580000</v>
      </c>
      <c r="AC52" s="10" t="n">
        <v>1</v>
      </c>
    </row>
    <row r="53" customFormat="false" ht="15.75" hidden="true" customHeight="true" outlineLevel="0" collapsed="false">
      <c r="A53" s="6"/>
      <c r="B53" s="7" t="s">
        <v>236</v>
      </c>
      <c r="C53" s="7" t="s">
        <v>60</v>
      </c>
      <c r="D53" s="7" t="s">
        <v>61</v>
      </c>
      <c r="E53" s="7" t="s">
        <v>237</v>
      </c>
      <c r="F53" s="8" t="s">
        <v>238</v>
      </c>
      <c r="G53" s="9" t="n">
        <f aca="false">DATE(2000+VALUE(MID(F53,7,2)),VALUE(MID(F53,4,2)),VALUE(LEFT(F53,2)))</f>
        <v>45443</v>
      </c>
      <c r="H53" s="8" t="s">
        <v>239</v>
      </c>
      <c r="I53" s="9" t="n">
        <f aca="false">DATE(2000+VALUE(MID(H53,7,2)),VALUE(MID(H53,4,2)),VALUE(LEFT(H53,2)))</f>
        <v>45445</v>
      </c>
      <c r="J53" s="9"/>
      <c r="K53" s="10" t="n">
        <v>1350000</v>
      </c>
      <c r="L53" s="10" t="n">
        <v>0</v>
      </c>
      <c r="M53" s="10" t="n">
        <v>1350000</v>
      </c>
      <c r="N53" s="10" t="n">
        <v>0</v>
      </c>
      <c r="O53" s="10" t="n">
        <v>0</v>
      </c>
      <c r="P53" s="10" t="n">
        <v>0</v>
      </c>
      <c r="Q53" s="10" t="n">
        <v>1350000</v>
      </c>
      <c r="R53" s="10" t="n">
        <v>0</v>
      </c>
      <c r="S53" s="10" t="n">
        <v>0</v>
      </c>
      <c r="T53" s="7"/>
      <c r="U53" s="7"/>
      <c r="V53" s="7"/>
      <c r="W53" s="7" t="s">
        <v>43</v>
      </c>
      <c r="X53" s="7"/>
      <c r="Y53" s="7" t="s">
        <v>37</v>
      </c>
      <c r="Z53" s="7" t="s">
        <v>240</v>
      </c>
      <c r="AA53" s="7"/>
      <c r="AB53" s="10" t="n">
        <v>675000</v>
      </c>
      <c r="AC53" s="10" t="n">
        <v>2</v>
      </c>
    </row>
    <row r="54" customFormat="false" ht="15.75" hidden="true" customHeight="true" outlineLevel="0" collapsed="false">
      <c r="A54" s="6"/>
      <c r="B54" s="7" t="s">
        <v>241</v>
      </c>
      <c r="C54" s="7" t="s">
        <v>31</v>
      </c>
      <c r="D54" s="7" t="s">
        <v>105</v>
      </c>
      <c r="E54" s="7" t="s">
        <v>219</v>
      </c>
      <c r="F54" s="8" t="s">
        <v>221</v>
      </c>
      <c r="G54" s="9" t="n">
        <f aca="false">DATE(2000+VALUE(MID(F54,7,2)),VALUE(MID(F54,4,2)),VALUE(LEFT(F54,2)))</f>
        <v>45444</v>
      </c>
      <c r="H54" s="8" t="s">
        <v>242</v>
      </c>
      <c r="I54" s="9" t="n">
        <f aca="false">DATE(2000+VALUE(MID(H54,7,2)),VALUE(MID(H54,4,2)),VALUE(LEFT(H54,2)))</f>
        <v>45445</v>
      </c>
      <c r="J54" s="9"/>
      <c r="K54" s="10" t="n">
        <v>737486</v>
      </c>
      <c r="L54" s="10" t="n">
        <v>0</v>
      </c>
      <c r="M54" s="10" t="n">
        <v>737486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737486</v>
      </c>
      <c r="S54" s="10" t="n">
        <v>0</v>
      </c>
      <c r="T54" s="7"/>
      <c r="U54" s="7"/>
      <c r="V54" s="7"/>
      <c r="W54" s="7" t="s">
        <v>222</v>
      </c>
      <c r="X54" s="7"/>
      <c r="Y54" s="7" t="s">
        <v>37</v>
      </c>
      <c r="Z54" s="7" t="s">
        <v>243</v>
      </c>
      <c r="AA54" s="7" t="s">
        <v>244</v>
      </c>
      <c r="AB54" s="10" t="n">
        <v>737486</v>
      </c>
      <c r="AC54" s="10" t="n">
        <v>1</v>
      </c>
    </row>
    <row r="55" customFormat="false" ht="15.75" hidden="true" customHeight="true" outlineLevel="0" collapsed="false">
      <c r="A55" s="6"/>
      <c r="B55" s="7" t="s">
        <v>203</v>
      </c>
      <c r="C55" s="7" t="s">
        <v>71</v>
      </c>
      <c r="D55" s="7" t="s">
        <v>72</v>
      </c>
      <c r="E55" s="7" t="s">
        <v>245</v>
      </c>
      <c r="F55" s="8" t="s">
        <v>246</v>
      </c>
      <c r="G55" s="9" t="n">
        <f aca="false">DATE(2000+VALUE(MID(F55,7,2)),VALUE(MID(F55,4,2)),VALUE(LEFT(F55,2)))</f>
        <v>45444</v>
      </c>
      <c r="H55" s="8" t="s">
        <v>247</v>
      </c>
      <c r="I55" s="9" t="n">
        <f aca="false">DATE(2000+VALUE(MID(H55,7,2)),VALUE(MID(H55,4,2)),VALUE(LEFT(H55,2)))</f>
        <v>45445</v>
      </c>
      <c r="J55" s="9"/>
      <c r="K55" s="10" t="n">
        <v>584000</v>
      </c>
      <c r="L55" s="10" t="n">
        <v>0</v>
      </c>
      <c r="M55" s="10" t="n">
        <v>584000</v>
      </c>
      <c r="N55" s="10" t="n">
        <v>0</v>
      </c>
      <c r="O55" s="10" t="n">
        <v>0</v>
      </c>
      <c r="P55" s="10" t="n">
        <v>0</v>
      </c>
      <c r="Q55" s="10" t="n">
        <v>584000</v>
      </c>
      <c r="R55" s="10" t="n">
        <v>0</v>
      </c>
      <c r="S55" s="10" t="n">
        <v>0</v>
      </c>
      <c r="T55" s="7"/>
      <c r="U55" s="7"/>
      <c r="V55" s="7"/>
      <c r="W55" s="7" t="s">
        <v>54</v>
      </c>
      <c r="X55" s="7"/>
      <c r="Y55" s="7" t="s">
        <v>37</v>
      </c>
      <c r="Z55" s="7" t="s">
        <v>248</v>
      </c>
      <c r="AA55" s="7"/>
      <c r="AB55" s="10" t="n">
        <v>584000</v>
      </c>
      <c r="AC55" s="10" t="n">
        <v>1</v>
      </c>
    </row>
    <row r="56" customFormat="false" ht="15.75" hidden="true" customHeight="true" outlineLevel="0" collapsed="false">
      <c r="A56" s="6"/>
      <c r="B56" s="7" t="s">
        <v>249</v>
      </c>
      <c r="C56" s="7" t="s">
        <v>65</v>
      </c>
      <c r="D56" s="7" t="s">
        <v>156</v>
      </c>
      <c r="E56" s="7" t="s">
        <v>250</v>
      </c>
      <c r="F56" s="8" t="s">
        <v>251</v>
      </c>
      <c r="G56" s="9" t="n">
        <f aca="false">DATE(2000+VALUE(MID(F56,7,2)),VALUE(MID(F56,4,2)),VALUE(LEFT(F56,2)))</f>
        <v>45443</v>
      </c>
      <c r="H56" s="8" t="s">
        <v>247</v>
      </c>
      <c r="I56" s="9" t="n">
        <f aca="false">DATE(2000+VALUE(MID(H56,7,2)),VALUE(MID(H56,4,2)),VALUE(LEFT(H56,2)))</f>
        <v>45445</v>
      </c>
      <c r="J56" s="9"/>
      <c r="K56" s="10" t="n">
        <v>1168000</v>
      </c>
      <c r="L56" s="10" t="n">
        <v>30000</v>
      </c>
      <c r="M56" s="10" t="n">
        <v>1198000</v>
      </c>
      <c r="N56" s="10" t="n">
        <v>0</v>
      </c>
      <c r="O56" s="10" t="n">
        <v>30000</v>
      </c>
      <c r="P56" s="10" t="n">
        <v>0</v>
      </c>
      <c r="Q56" s="10" t="n">
        <v>1168000</v>
      </c>
      <c r="R56" s="10" t="n">
        <v>0</v>
      </c>
      <c r="S56" s="10" t="n">
        <v>0</v>
      </c>
      <c r="T56" s="7"/>
      <c r="U56" s="7"/>
      <c r="V56" s="7"/>
      <c r="W56" s="7" t="s">
        <v>43</v>
      </c>
      <c r="X56" s="7"/>
      <c r="Y56" s="7" t="s">
        <v>37</v>
      </c>
      <c r="Z56" s="7" t="s">
        <v>252</v>
      </c>
      <c r="AA56" s="7"/>
      <c r="AB56" s="10" t="n">
        <v>584000</v>
      </c>
      <c r="AC56" s="10" t="n">
        <v>2</v>
      </c>
    </row>
    <row r="57" customFormat="false" ht="15.75" hidden="true" customHeight="true" outlineLevel="0" collapsed="false">
      <c r="A57" s="6"/>
      <c r="B57" s="7" t="s">
        <v>172</v>
      </c>
      <c r="C57" s="7" t="s">
        <v>65</v>
      </c>
      <c r="D57" s="7" t="s">
        <v>66</v>
      </c>
      <c r="E57" s="7" t="s">
        <v>253</v>
      </c>
      <c r="F57" s="8" t="s">
        <v>254</v>
      </c>
      <c r="G57" s="9" t="n">
        <f aca="false">DATE(2000+VALUE(MID(F57,7,2)),VALUE(MID(F57,4,2)),VALUE(LEFT(F57,2)))</f>
        <v>45444</v>
      </c>
      <c r="H57" s="8" t="s">
        <v>255</v>
      </c>
      <c r="I57" s="9" t="n">
        <f aca="false">DATE(2000+VALUE(MID(H57,7,2)),VALUE(MID(H57,4,2)),VALUE(LEFT(H57,2)))</f>
        <v>45445</v>
      </c>
      <c r="J57" s="9"/>
      <c r="K57" s="10" t="n">
        <v>649000</v>
      </c>
      <c r="L57" s="10" t="n">
        <v>0</v>
      </c>
      <c r="M57" s="10" t="n">
        <v>584100</v>
      </c>
      <c r="N57" s="10" t="n">
        <v>0</v>
      </c>
      <c r="O57" s="10" t="n">
        <v>334100</v>
      </c>
      <c r="P57" s="10" t="n">
        <v>0</v>
      </c>
      <c r="Q57" s="10" t="n">
        <v>250000</v>
      </c>
      <c r="R57" s="10" t="n">
        <v>0</v>
      </c>
      <c r="S57" s="10" t="n">
        <v>0</v>
      </c>
      <c r="T57" s="7"/>
      <c r="U57" s="7"/>
      <c r="V57" s="7"/>
      <c r="W57" s="7" t="s">
        <v>49</v>
      </c>
      <c r="X57" s="7"/>
      <c r="Y57" s="7" t="s">
        <v>37</v>
      </c>
      <c r="Z57" s="7" t="s">
        <v>256</v>
      </c>
      <c r="AA57" s="7" t="s">
        <v>257</v>
      </c>
      <c r="AB57" s="10" t="n">
        <v>649000</v>
      </c>
      <c r="AC57" s="10" t="n">
        <v>1</v>
      </c>
    </row>
    <row r="58" customFormat="false" ht="15.75" hidden="true" customHeight="true" outlineLevel="0" collapsed="false">
      <c r="A58" s="6"/>
      <c r="B58" s="7" t="s">
        <v>229</v>
      </c>
      <c r="C58" s="7" t="s">
        <v>65</v>
      </c>
      <c r="D58" s="7" t="s">
        <v>76</v>
      </c>
      <c r="E58" s="7" t="s">
        <v>258</v>
      </c>
      <c r="F58" s="8" t="s">
        <v>259</v>
      </c>
      <c r="G58" s="9" t="n">
        <f aca="false">DATE(2000+VALUE(MID(F58,7,2)),VALUE(MID(F58,4,2)),VALUE(LEFT(F58,2)))</f>
        <v>45444</v>
      </c>
      <c r="H58" s="8" t="s">
        <v>260</v>
      </c>
      <c r="I58" s="9" t="n">
        <f aca="false">DATE(2000+VALUE(MID(H58,7,2)),VALUE(MID(H58,4,2)),VALUE(LEFT(H58,2)))</f>
        <v>45445</v>
      </c>
      <c r="J58" s="9"/>
      <c r="K58" s="10" t="n">
        <v>849000</v>
      </c>
      <c r="L58" s="10" t="n">
        <v>0</v>
      </c>
      <c r="M58" s="10" t="n">
        <v>784100</v>
      </c>
      <c r="N58" s="10" t="n">
        <v>0</v>
      </c>
      <c r="O58" s="10" t="n">
        <v>0</v>
      </c>
      <c r="P58" s="10" t="n">
        <v>0</v>
      </c>
      <c r="Q58" s="10" t="n">
        <v>584100</v>
      </c>
      <c r="R58" s="10" t="n">
        <v>200000</v>
      </c>
      <c r="S58" s="10" t="n">
        <v>0</v>
      </c>
      <c r="T58" s="7"/>
      <c r="U58" s="7"/>
      <c r="V58" s="7"/>
      <c r="W58" s="7" t="s">
        <v>49</v>
      </c>
      <c r="X58" s="7"/>
      <c r="Y58" s="7" t="s">
        <v>37</v>
      </c>
      <c r="Z58" s="7" t="s">
        <v>197</v>
      </c>
      <c r="AA58" s="7" t="s">
        <v>261</v>
      </c>
      <c r="AB58" s="10" t="n">
        <v>849000</v>
      </c>
      <c r="AC58" s="10" t="n">
        <v>1</v>
      </c>
    </row>
    <row r="59" customFormat="false" ht="15.75" hidden="true" customHeight="true" outlineLevel="0" collapsed="false">
      <c r="A59" s="6"/>
      <c r="B59" s="7" t="s">
        <v>240</v>
      </c>
      <c r="C59" s="7" t="s">
        <v>60</v>
      </c>
      <c r="D59" s="7" t="s">
        <v>173</v>
      </c>
      <c r="E59" s="7" t="s">
        <v>262</v>
      </c>
      <c r="F59" s="8" t="s">
        <v>263</v>
      </c>
      <c r="G59" s="9" t="n">
        <f aca="false">DATE(2000+VALUE(MID(F59,7,2)),VALUE(MID(F59,4,2)),VALUE(LEFT(F59,2)))</f>
        <v>45445</v>
      </c>
      <c r="H59" s="8" t="s">
        <v>264</v>
      </c>
      <c r="I59" s="9" t="n">
        <f aca="false">DATE(2000+VALUE(MID(H59,7,2)),VALUE(MID(H59,4,2)),VALUE(LEFT(H59,2)))</f>
        <v>45445</v>
      </c>
      <c r="J59" s="9"/>
      <c r="K59" s="10" t="n">
        <v>479000</v>
      </c>
      <c r="L59" s="10" t="n">
        <v>0</v>
      </c>
      <c r="M59" s="10" t="n">
        <v>479000</v>
      </c>
      <c r="N59" s="10" t="n">
        <v>0</v>
      </c>
      <c r="O59" s="10" t="n">
        <v>0</v>
      </c>
      <c r="P59" s="10" t="n">
        <v>0</v>
      </c>
      <c r="Q59" s="10" t="n">
        <v>479000</v>
      </c>
      <c r="R59" s="10" t="n">
        <v>0</v>
      </c>
      <c r="S59" s="10" t="n">
        <v>0</v>
      </c>
      <c r="T59" s="7"/>
      <c r="U59" s="7"/>
      <c r="V59" s="7"/>
      <c r="W59" s="7" t="s">
        <v>43</v>
      </c>
      <c r="X59" s="7"/>
      <c r="Y59" s="7" t="s">
        <v>37</v>
      </c>
      <c r="Z59" s="7" t="s">
        <v>265</v>
      </c>
      <c r="AA59" s="7"/>
      <c r="AB59" s="10" t="n">
        <v>479000</v>
      </c>
      <c r="AC59" s="10" t="n">
        <v>1</v>
      </c>
    </row>
    <row r="60" customFormat="false" ht="15.75" hidden="true" customHeight="true" outlineLevel="0" collapsed="false">
      <c r="A60" s="6"/>
      <c r="B60" s="7" t="s">
        <v>248</v>
      </c>
      <c r="C60" s="7" t="s">
        <v>65</v>
      </c>
      <c r="D60" s="7" t="s">
        <v>82</v>
      </c>
      <c r="E60" s="7" t="s">
        <v>266</v>
      </c>
      <c r="F60" s="8" t="s">
        <v>267</v>
      </c>
      <c r="G60" s="9" t="n">
        <f aca="false">DATE(2000+VALUE(MID(F60,7,2)),VALUE(MID(F60,4,2)),VALUE(LEFT(F60,2)))</f>
        <v>45445</v>
      </c>
      <c r="H60" s="8" t="s">
        <v>268</v>
      </c>
      <c r="I60" s="9" t="n">
        <f aca="false">DATE(2000+VALUE(MID(H60,7,2)),VALUE(MID(H60,4,2)),VALUE(LEFT(H60,2)))</f>
        <v>45445</v>
      </c>
      <c r="J60" s="9"/>
      <c r="K60" s="10" t="n">
        <v>400000</v>
      </c>
      <c r="L60" s="10" t="n">
        <v>0</v>
      </c>
      <c r="M60" s="10" t="n">
        <v>400000</v>
      </c>
      <c r="N60" s="10" t="n">
        <v>0</v>
      </c>
      <c r="O60" s="10" t="n">
        <v>0</v>
      </c>
      <c r="P60" s="10" t="n">
        <v>0</v>
      </c>
      <c r="Q60" s="10" t="n">
        <v>400000</v>
      </c>
      <c r="R60" s="10" t="n">
        <v>0</v>
      </c>
      <c r="S60" s="10" t="n">
        <v>0</v>
      </c>
      <c r="T60" s="7"/>
      <c r="U60" s="7"/>
      <c r="V60" s="7"/>
      <c r="W60" s="7" t="s">
        <v>43</v>
      </c>
      <c r="X60" s="7"/>
      <c r="Y60" s="7" t="s">
        <v>37</v>
      </c>
      <c r="Z60" s="7" t="s">
        <v>269</v>
      </c>
      <c r="AA60" s="7"/>
      <c r="AB60" s="10" t="n">
        <v>400000</v>
      </c>
      <c r="AC60" s="10" t="n">
        <v>1</v>
      </c>
    </row>
    <row r="61" customFormat="false" ht="15.75" hidden="true" customHeight="true" outlineLevel="0" collapsed="false">
      <c r="A61" s="6"/>
      <c r="B61" s="7" t="s">
        <v>235</v>
      </c>
      <c r="C61" s="7" t="s">
        <v>65</v>
      </c>
      <c r="D61" s="7" t="s">
        <v>87</v>
      </c>
      <c r="E61" s="7" t="s">
        <v>270</v>
      </c>
      <c r="F61" s="8" t="s">
        <v>271</v>
      </c>
      <c r="G61" s="9" t="n">
        <f aca="false">DATE(2000+VALUE(MID(F61,7,2)),VALUE(MID(F61,4,2)),VALUE(LEFT(F61,2)))</f>
        <v>45445</v>
      </c>
      <c r="H61" s="8" t="s">
        <v>272</v>
      </c>
      <c r="I61" s="9" t="n">
        <f aca="false">DATE(2000+VALUE(MID(H61,7,2)),VALUE(MID(H61,4,2)),VALUE(LEFT(H61,2)))</f>
        <v>45446</v>
      </c>
      <c r="J61" s="9"/>
      <c r="K61" s="10" t="n">
        <v>494000</v>
      </c>
      <c r="L61" s="10" t="n">
        <v>39000</v>
      </c>
      <c r="M61" s="10" t="n">
        <v>533000</v>
      </c>
      <c r="N61" s="10" t="n">
        <v>0</v>
      </c>
      <c r="O61" s="10" t="n">
        <v>0</v>
      </c>
      <c r="P61" s="10" t="n">
        <v>0</v>
      </c>
      <c r="Q61" s="10" t="n">
        <v>533000</v>
      </c>
      <c r="R61" s="10" t="n">
        <v>0</v>
      </c>
      <c r="S61" s="10" t="n">
        <v>0</v>
      </c>
      <c r="T61" s="7"/>
      <c r="U61" s="7"/>
      <c r="V61" s="7"/>
      <c r="W61" s="7" t="s">
        <v>43</v>
      </c>
      <c r="X61" s="7"/>
      <c r="Y61" s="7" t="s">
        <v>37</v>
      </c>
      <c r="Z61" s="7" t="s">
        <v>273</v>
      </c>
      <c r="AA61" s="7"/>
      <c r="AB61" s="10" t="n">
        <v>494000</v>
      </c>
      <c r="AC61" s="10" t="n">
        <v>1</v>
      </c>
    </row>
    <row r="62" customFormat="false" ht="15.75" hidden="true" customHeight="true" outlineLevel="0" collapsed="false">
      <c r="A62" s="6"/>
      <c r="B62" s="7" t="s">
        <v>243</v>
      </c>
      <c r="C62" s="7" t="s">
        <v>71</v>
      </c>
      <c r="D62" s="7" t="s">
        <v>92</v>
      </c>
      <c r="E62" s="7" t="s">
        <v>274</v>
      </c>
      <c r="F62" s="8" t="s">
        <v>275</v>
      </c>
      <c r="G62" s="9" t="n">
        <f aca="false">DATE(2000+VALUE(MID(F62,7,2)),VALUE(MID(F62,4,2)),VALUE(LEFT(F62,2)))</f>
        <v>45445</v>
      </c>
      <c r="H62" s="8" t="s">
        <v>272</v>
      </c>
      <c r="I62" s="9" t="n">
        <f aca="false">DATE(2000+VALUE(MID(H62,7,2)),VALUE(MID(H62,4,2)),VALUE(LEFT(H62,2)))</f>
        <v>45446</v>
      </c>
      <c r="J62" s="9"/>
      <c r="K62" s="10" t="n">
        <v>498782</v>
      </c>
      <c r="L62" s="10" t="n">
        <v>0</v>
      </c>
      <c r="M62" s="10" t="n">
        <v>498782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498782</v>
      </c>
      <c r="S62" s="10" t="n">
        <v>0</v>
      </c>
      <c r="T62" s="7"/>
      <c r="U62" s="7"/>
      <c r="V62" s="7"/>
      <c r="W62" s="7" t="s">
        <v>49</v>
      </c>
      <c r="X62" s="7"/>
      <c r="Y62" s="7" t="s">
        <v>37</v>
      </c>
      <c r="Z62" s="7" t="s">
        <v>276</v>
      </c>
      <c r="AA62" s="7" t="s">
        <v>277</v>
      </c>
      <c r="AB62" s="10" t="n">
        <v>498782</v>
      </c>
      <c r="AC62" s="10" t="n">
        <v>1</v>
      </c>
    </row>
    <row r="63" customFormat="false" ht="15.75" hidden="true" customHeight="true" outlineLevel="0" collapsed="false">
      <c r="A63" s="6"/>
      <c r="B63" s="7" t="s">
        <v>276</v>
      </c>
      <c r="C63" s="7" t="s">
        <v>31</v>
      </c>
      <c r="D63" s="7" t="s">
        <v>39</v>
      </c>
      <c r="E63" s="7" t="s">
        <v>278</v>
      </c>
      <c r="F63" s="8" t="s">
        <v>279</v>
      </c>
      <c r="G63" s="9" t="n">
        <f aca="false">DATE(2000+VALUE(MID(F63,7,2)),VALUE(MID(F63,4,2)),VALUE(LEFT(F63,2)))</f>
        <v>45446</v>
      </c>
      <c r="H63" s="8" t="s">
        <v>280</v>
      </c>
      <c r="I63" s="9" t="n">
        <f aca="false">DATE(2000+VALUE(MID(H63,7,2)),VALUE(MID(H63,4,2)),VALUE(LEFT(H63,2)))</f>
        <v>45446</v>
      </c>
      <c r="J63" s="9"/>
      <c r="K63" s="10" t="n">
        <v>649000</v>
      </c>
      <c r="L63" s="10" t="n">
        <v>58000</v>
      </c>
      <c r="M63" s="10" t="n">
        <v>707000</v>
      </c>
      <c r="N63" s="10" t="n">
        <v>0</v>
      </c>
      <c r="O63" s="10" t="n">
        <v>0</v>
      </c>
      <c r="P63" s="10" t="n">
        <v>0</v>
      </c>
      <c r="Q63" s="10" t="n">
        <v>707000</v>
      </c>
      <c r="R63" s="10" t="n">
        <v>0</v>
      </c>
      <c r="S63" s="10" t="n">
        <v>0</v>
      </c>
      <c r="T63" s="7"/>
      <c r="U63" s="7"/>
      <c r="V63" s="7"/>
      <c r="W63" s="7" t="s">
        <v>43</v>
      </c>
      <c r="X63" s="7"/>
      <c r="Y63" s="7" t="s">
        <v>37</v>
      </c>
      <c r="Z63" s="7" t="s">
        <v>281</v>
      </c>
      <c r="AA63" s="7"/>
      <c r="AB63" s="10" t="n">
        <v>649000</v>
      </c>
      <c r="AC63" s="10" t="n">
        <v>1</v>
      </c>
    </row>
    <row r="64" customFormat="false" ht="15.75" hidden="true" customHeight="true" outlineLevel="0" collapsed="false">
      <c r="A64" s="6"/>
      <c r="B64" s="7" t="s">
        <v>181</v>
      </c>
      <c r="C64" s="7" t="s">
        <v>71</v>
      </c>
      <c r="D64" s="7" t="s">
        <v>72</v>
      </c>
      <c r="E64" s="7" t="s">
        <v>202</v>
      </c>
      <c r="F64" s="8" t="s">
        <v>282</v>
      </c>
      <c r="G64" s="9" t="n">
        <f aca="false">DATE(2000+VALUE(MID(F64,7,2)),VALUE(MID(F64,4,2)),VALUE(LEFT(F64,2)))</f>
        <v>45447</v>
      </c>
      <c r="H64" s="8" t="s">
        <v>283</v>
      </c>
      <c r="I64" s="9" t="n">
        <f aca="false">DATE(2000+VALUE(MID(H64,7,2)),VALUE(MID(H64,4,2)),VALUE(LEFT(H64,2)))</f>
        <v>45448</v>
      </c>
      <c r="J64" s="9"/>
      <c r="K64" s="10" t="n">
        <v>905000</v>
      </c>
      <c r="L64" s="10" t="n">
        <v>0</v>
      </c>
      <c r="M64" s="10" t="n">
        <v>905000</v>
      </c>
      <c r="N64" s="10" t="n">
        <v>0</v>
      </c>
      <c r="O64" s="10" t="n">
        <v>0</v>
      </c>
      <c r="P64" s="10" t="n">
        <v>0</v>
      </c>
      <c r="Q64" s="10" t="n">
        <v>905000</v>
      </c>
      <c r="R64" s="10" t="n">
        <v>0</v>
      </c>
      <c r="S64" s="10" t="n">
        <v>0</v>
      </c>
      <c r="T64" s="7"/>
      <c r="U64" s="7"/>
      <c r="V64" s="7"/>
      <c r="W64" s="7" t="s">
        <v>43</v>
      </c>
      <c r="X64" s="7"/>
      <c r="Y64" s="7" t="s">
        <v>37</v>
      </c>
      <c r="Z64" s="7" t="s">
        <v>189</v>
      </c>
      <c r="AA64" s="7"/>
      <c r="AB64" s="10" t="n">
        <v>905000</v>
      </c>
      <c r="AC64" s="10" t="n">
        <v>1</v>
      </c>
    </row>
    <row r="65" customFormat="false" ht="15.75" hidden="true" customHeight="true" outlineLevel="0" collapsed="false">
      <c r="A65" s="6"/>
      <c r="B65" s="7" t="s">
        <v>181</v>
      </c>
      <c r="C65" s="7" t="s">
        <v>65</v>
      </c>
      <c r="D65" s="7" t="s">
        <v>66</v>
      </c>
      <c r="E65" s="7" t="s">
        <v>284</v>
      </c>
      <c r="F65" s="8" t="s">
        <v>282</v>
      </c>
      <c r="G65" s="9" t="n">
        <f aca="false">DATE(2000+VALUE(MID(F65,7,2)),VALUE(MID(F65,4,2)),VALUE(LEFT(F65,2)))</f>
        <v>45447</v>
      </c>
      <c r="H65" s="8" t="s">
        <v>283</v>
      </c>
      <c r="I65" s="9" t="n">
        <f aca="false">DATE(2000+VALUE(MID(H65,7,2)),VALUE(MID(H65,4,2)),VALUE(LEFT(H65,2)))</f>
        <v>45448</v>
      </c>
      <c r="J65" s="9"/>
      <c r="K65" s="10" t="n">
        <v>735000</v>
      </c>
      <c r="L65" s="10" t="n">
        <v>138000</v>
      </c>
      <c r="M65" s="10" t="n">
        <v>873000</v>
      </c>
      <c r="N65" s="10" t="n">
        <v>0</v>
      </c>
      <c r="O65" s="10" t="n">
        <v>138000</v>
      </c>
      <c r="P65" s="10" t="n">
        <v>0</v>
      </c>
      <c r="Q65" s="10" t="n">
        <v>735000</v>
      </c>
      <c r="R65" s="10" t="n">
        <v>0</v>
      </c>
      <c r="S65" s="10" t="n">
        <v>0</v>
      </c>
      <c r="T65" s="7"/>
      <c r="U65" s="7"/>
      <c r="V65" s="7"/>
      <c r="W65" s="7" t="s">
        <v>43</v>
      </c>
      <c r="X65" s="7"/>
      <c r="Y65" s="7" t="s">
        <v>37</v>
      </c>
      <c r="Z65" s="7" t="s">
        <v>285</v>
      </c>
      <c r="AA65" s="7"/>
      <c r="AB65" s="10" t="n">
        <v>735000</v>
      </c>
      <c r="AC65" s="10" t="n">
        <v>1</v>
      </c>
    </row>
    <row r="66" customFormat="false" ht="15.75" hidden="true" customHeight="true" outlineLevel="0" collapsed="false">
      <c r="A66" s="6"/>
      <c r="B66" s="7" t="s">
        <v>181</v>
      </c>
      <c r="C66" s="7" t="s">
        <v>31</v>
      </c>
      <c r="D66" s="7" t="s">
        <v>32</v>
      </c>
      <c r="E66" s="7" t="s">
        <v>202</v>
      </c>
      <c r="F66" s="8" t="s">
        <v>282</v>
      </c>
      <c r="G66" s="9" t="n">
        <f aca="false">DATE(2000+VALUE(MID(F66,7,2)),VALUE(MID(F66,4,2)),VALUE(LEFT(F66,2)))</f>
        <v>45447</v>
      </c>
      <c r="H66" s="8" t="s">
        <v>283</v>
      </c>
      <c r="I66" s="9" t="n">
        <f aca="false">DATE(2000+VALUE(MID(H66,7,2)),VALUE(MID(H66,4,2)),VALUE(LEFT(H66,2)))</f>
        <v>45448</v>
      </c>
      <c r="J66" s="9"/>
      <c r="K66" s="10" t="n">
        <v>1207000</v>
      </c>
      <c r="L66" s="10" t="n">
        <v>0</v>
      </c>
      <c r="M66" s="10" t="n">
        <v>1207000</v>
      </c>
      <c r="N66" s="10" t="n">
        <v>0</v>
      </c>
      <c r="O66" s="10" t="n">
        <v>0</v>
      </c>
      <c r="P66" s="10" t="n">
        <v>0</v>
      </c>
      <c r="Q66" s="10" t="n">
        <v>1207000</v>
      </c>
      <c r="R66" s="10" t="n">
        <v>0</v>
      </c>
      <c r="S66" s="10" t="n">
        <v>0</v>
      </c>
      <c r="T66" s="7"/>
      <c r="U66" s="7"/>
      <c r="V66" s="7"/>
      <c r="W66" s="7" t="s">
        <v>43</v>
      </c>
      <c r="X66" s="7"/>
      <c r="Y66" s="7" t="s">
        <v>37</v>
      </c>
      <c r="Z66" s="7" t="s">
        <v>249</v>
      </c>
      <c r="AA66" s="7"/>
      <c r="AB66" s="10" t="n">
        <v>1207000</v>
      </c>
      <c r="AC66" s="10" t="n">
        <v>1</v>
      </c>
    </row>
    <row r="67" customFormat="false" ht="15.75" hidden="true" customHeight="true" outlineLevel="0" collapsed="false">
      <c r="A67" s="6"/>
      <c r="B67" s="7" t="s">
        <v>286</v>
      </c>
      <c r="C67" s="7" t="s">
        <v>60</v>
      </c>
      <c r="D67" s="7" t="s">
        <v>164</v>
      </c>
      <c r="E67" s="7" t="s">
        <v>202</v>
      </c>
      <c r="F67" s="8" t="s">
        <v>287</v>
      </c>
      <c r="G67" s="9" t="n">
        <f aca="false">DATE(2000+VALUE(MID(F67,7,2)),VALUE(MID(F67,4,2)),VALUE(LEFT(F67,2)))</f>
        <v>45447</v>
      </c>
      <c r="H67" s="8" t="s">
        <v>283</v>
      </c>
      <c r="I67" s="9" t="n">
        <f aca="false">DATE(2000+VALUE(MID(H67,7,2)),VALUE(MID(H67,4,2)),VALUE(LEFT(H67,2)))</f>
        <v>45448</v>
      </c>
      <c r="J67" s="9"/>
      <c r="K67" s="10" t="n">
        <v>585000</v>
      </c>
      <c r="L67" s="10" t="n">
        <v>0</v>
      </c>
      <c r="M67" s="10" t="n">
        <v>585000</v>
      </c>
      <c r="N67" s="10" t="n">
        <v>0</v>
      </c>
      <c r="O67" s="10" t="n">
        <v>0</v>
      </c>
      <c r="P67" s="10" t="n">
        <v>0</v>
      </c>
      <c r="Q67" s="10" t="n">
        <v>585000</v>
      </c>
      <c r="R67" s="10" t="n">
        <v>0</v>
      </c>
      <c r="S67" s="10" t="n">
        <v>0</v>
      </c>
      <c r="T67" s="7"/>
      <c r="U67" s="7"/>
      <c r="V67" s="7"/>
      <c r="W67" s="7" t="s">
        <v>43</v>
      </c>
      <c r="X67" s="7"/>
      <c r="Y67" s="7" t="s">
        <v>37</v>
      </c>
      <c r="Z67" s="7" t="s">
        <v>288</v>
      </c>
      <c r="AA67" s="7"/>
      <c r="AB67" s="10" t="n">
        <v>585000</v>
      </c>
      <c r="AC67" s="10" t="n">
        <v>1</v>
      </c>
    </row>
    <row r="68" customFormat="false" ht="15.75" hidden="true" customHeight="true" outlineLevel="0" collapsed="false">
      <c r="A68" s="6"/>
      <c r="B68" s="7" t="s">
        <v>289</v>
      </c>
      <c r="C68" s="7" t="s">
        <v>31</v>
      </c>
      <c r="D68" s="7" t="s">
        <v>39</v>
      </c>
      <c r="E68" s="7" t="s">
        <v>290</v>
      </c>
      <c r="F68" s="8" t="s">
        <v>291</v>
      </c>
      <c r="G68" s="9" t="n">
        <f aca="false">DATE(2000+VALUE(MID(F68,7,2)),VALUE(MID(F68,4,2)),VALUE(LEFT(F68,2)))</f>
        <v>45448</v>
      </c>
      <c r="H68" s="8" t="s">
        <v>292</v>
      </c>
      <c r="I68" s="9" t="n">
        <f aca="false">DATE(2000+VALUE(MID(H68,7,2)),VALUE(MID(H68,4,2)),VALUE(LEFT(H68,2)))</f>
        <v>45448</v>
      </c>
      <c r="J68" s="9"/>
      <c r="K68" s="10" t="n">
        <v>890000</v>
      </c>
      <c r="L68" s="10" t="n">
        <v>0</v>
      </c>
      <c r="M68" s="10" t="n">
        <v>890000</v>
      </c>
      <c r="N68" s="10" t="n">
        <v>0</v>
      </c>
      <c r="O68" s="10" t="n">
        <v>0</v>
      </c>
      <c r="P68" s="10" t="n">
        <v>0</v>
      </c>
      <c r="Q68" s="10" t="n">
        <v>890000</v>
      </c>
      <c r="R68" s="10" t="n">
        <v>0</v>
      </c>
      <c r="S68" s="10" t="n">
        <v>0</v>
      </c>
      <c r="T68" s="7"/>
      <c r="U68" s="7"/>
      <c r="V68" s="7"/>
      <c r="W68" s="7" t="s">
        <v>43</v>
      </c>
      <c r="X68" s="7"/>
      <c r="Y68" s="7" t="s">
        <v>37</v>
      </c>
      <c r="Z68" s="7" t="s">
        <v>293</v>
      </c>
      <c r="AA68" s="7"/>
      <c r="AB68" s="10" t="n">
        <v>890000</v>
      </c>
      <c r="AC68" s="10" t="n">
        <v>1</v>
      </c>
    </row>
    <row r="69" customFormat="false" ht="15.75" hidden="true" customHeight="true" outlineLevel="0" collapsed="false">
      <c r="A69" s="6"/>
      <c r="B69" s="7" t="s">
        <v>281</v>
      </c>
      <c r="C69" s="7" t="s">
        <v>65</v>
      </c>
      <c r="D69" s="7" t="s">
        <v>87</v>
      </c>
      <c r="E69" s="7" t="s">
        <v>294</v>
      </c>
      <c r="F69" s="8" t="s">
        <v>295</v>
      </c>
      <c r="G69" s="9" t="n">
        <f aca="false">DATE(2000+VALUE(MID(F69,7,2)),VALUE(MID(F69,4,2)),VALUE(LEFT(F69,2)))</f>
        <v>45447</v>
      </c>
      <c r="H69" s="8" t="s">
        <v>296</v>
      </c>
      <c r="I69" s="9" t="n">
        <f aca="false">DATE(2000+VALUE(MID(H69,7,2)),VALUE(MID(H69,4,2)),VALUE(LEFT(H69,2)))</f>
        <v>45448</v>
      </c>
      <c r="J69" s="9"/>
      <c r="K69" s="10" t="n">
        <v>735000</v>
      </c>
      <c r="L69" s="10" t="n">
        <v>0</v>
      </c>
      <c r="M69" s="10" t="n">
        <v>735000</v>
      </c>
      <c r="N69" s="10" t="n">
        <v>0</v>
      </c>
      <c r="O69" s="10" t="n">
        <v>0</v>
      </c>
      <c r="P69" s="10" t="n">
        <v>0</v>
      </c>
      <c r="Q69" s="10" t="n">
        <v>735000</v>
      </c>
      <c r="R69" s="10" t="n">
        <v>0</v>
      </c>
      <c r="S69" s="10" t="n">
        <v>0</v>
      </c>
      <c r="T69" s="7"/>
      <c r="U69" s="7"/>
      <c r="V69" s="7"/>
      <c r="W69" s="7" t="s">
        <v>43</v>
      </c>
      <c r="X69" s="7"/>
      <c r="Y69" s="7" t="s">
        <v>37</v>
      </c>
      <c r="Z69" s="7" t="s">
        <v>297</v>
      </c>
      <c r="AA69" s="7"/>
      <c r="AB69" s="10" t="n">
        <v>735000</v>
      </c>
      <c r="AC69" s="10" t="n">
        <v>1</v>
      </c>
    </row>
    <row r="70" customFormat="false" ht="15.75" hidden="true" customHeight="true" outlineLevel="0" collapsed="false">
      <c r="A70" s="6"/>
      <c r="B70" s="7" t="s">
        <v>286</v>
      </c>
      <c r="C70" s="7" t="s">
        <v>60</v>
      </c>
      <c r="D70" s="7" t="s">
        <v>173</v>
      </c>
      <c r="E70" s="7" t="s">
        <v>298</v>
      </c>
      <c r="F70" s="8" t="s">
        <v>299</v>
      </c>
      <c r="G70" s="9" t="n">
        <f aca="false">DATE(2000+VALUE(MID(F70,7,2)),VALUE(MID(F70,4,2)),VALUE(LEFT(F70,2)))</f>
        <v>45447</v>
      </c>
      <c r="H70" s="8" t="s">
        <v>300</v>
      </c>
      <c r="I70" s="9" t="n">
        <f aca="false">DATE(2000+VALUE(MID(H70,7,2)),VALUE(MID(H70,4,2)),VALUE(LEFT(H70,2)))</f>
        <v>45449</v>
      </c>
      <c r="J70" s="9"/>
      <c r="K70" s="10" t="n">
        <v>1170000</v>
      </c>
      <c r="L70" s="10" t="n">
        <v>40000</v>
      </c>
      <c r="M70" s="10" t="n">
        <v>1210000</v>
      </c>
      <c r="N70" s="10" t="n">
        <v>0</v>
      </c>
      <c r="O70" s="10" t="n">
        <v>640000</v>
      </c>
      <c r="P70" s="10" t="n">
        <v>0</v>
      </c>
      <c r="Q70" s="10" t="n">
        <v>570000</v>
      </c>
      <c r="R70" s="10" t="n">
        <v>0</v>
      </c>
      <c r="S70" s="10" t="n">
        <v>0</v>
      </c>
      <c r="T70" s="7"/>
      <c r="U70" s="7"/>
      <c r="V70" s="7"/>
      <c r="W70" s="7" t="s">
        <v>43</v>
      </c>
      <c r="X70" s="7"/>
      <c r="Y70" s="7" t="s">
        <v>37</v>
      </c>
      <c r="Z70" s="7" t="s">
        <v>301</v>
      </c>
      <c r="AA70" s="7"/>
      <c r="AB70" s="10" t="n">
        <v>585000</v>
      </c>
      <c r="AC70" s="10" t="n">
        <v>2</v>
      </c>
    </row>
    <row r="71" customFormat="false" ht="15.75" hidden="true" customHeight="true" outlineLevel="0" collapsed="false">
      <c r="A71" s="6"/>
      <c r="B71" s="7" t="s">
        <v>288</v>
      </c>
      <c r="C71" s="7" t="s">
        <v>71</v>
      </c>
      <c r="D71" s="7" t="s">
        <v>72</v>
      </c>
      <c r="E71" s="7" t="s">
        <v>302</v>
      </c>
      <c r="F71" s="8" t="s">
        <v>303</v>
      </c>
      <c r="G71" s="9" t="n">
        <f aca="false">DATE(2000+VALUE(MID(F71,7,2)),VALUE(MID(F71,4,2)),VALUE(LEFT(F71,2)))</f>
        <v>45449</v>
      </c>
      <c r="H71" s="8" t="s">
        <v>304</v>
      </c>
      <c r="I71" s="9" t="n">
        <f aca="false">DATE(2000+VALUE(MID(H71,7,2)),VALUE(MID(H71,4,2)),VALUE(LEFT(H71,2)))</f>
        <v>45449</v>
      </c>
      <c r="J71" s="9"/>
      <c r="K71" s="10" t="n">
        <v>620000</v>
      </c>
      <c r="L71" s="10" t="n">
        <v>0</v>
      </c>
      <c r="M71" s="10" t="n">
        <v>620000</v>
      </c>
      <c r="N71" s="10" t="n">
        <v>0</v>
      </c>
      <c r="O71" s="10" t="n">
        <v>0</v>
      </c>
      <c r="P71" s="10" t="n">
        <v>0</v>
      </c>
      <c r="Q71" s="10" t="n">
        <v>620000</v>
      </c>
      <c r="R71" s="10" t="n">
        <v>0</v>
      </c>
      <c r="S71" s="10" t="n">
        <v>0</v>
      </c>
      <c r="T71" s="7"/>
      <c r="U71" s="7"/>
      <c r="V71" s="7"/>
      <c r="W71" s="7" t="s">
        <v>43</v>
      </c>
      <c r="X71" s="7"/>
      <c r="Y71" s="7" t="s">
        <v>37</v>
      </c>
      <c r="Z71" s="7" t="s">
        <v>305</v>
      </c>
      <c r="AA71" s="7"/>
      <c r="AB71" s="10" t="n">
        <v>620000</v>
      </c>
      <c r="AC71" s="10" t="n">
        <v>1</v>
      </c>
    </row>
    <row r="72" customFormat="false" ht="15.75" hidden="true" customHeight="true" outlineLevel="0" collapsed="false">
      <c r="A72" s="6"/>
      <c r="B72" s="7" t="s">
        <v>306</v>
      </c>
      <c r="C72" s="7" t="s">
        <v>60</v>
      </c>
      <c r="D72" s="7" t="s">
        <v>61</v>
      </c>
      <c r="E72" s="7" t="s">
        <v>307</v>
      </c>
      <c r="F72" s="8" t="s">
        <v>308</v>
      </c>
      <c r="G72" s="9" t="n">
        <f aca="false">DATE(2000+VALUE(MID(F72,7,2)),VALUE(MID(F72,4,2)),VALUE(LEFT(F72,2)))</f>
        <v>45445</v>
      </c>
      <c r="H72" s="8" t="s">
        <v>309</v>
      </c>
      <c r="I72" s="9" t="n">
        <f aca="false">DATE(2000+VALUE(MID(H72,7,2)),VALUE(MID(H72,4,2)),VALUE(LEFT(H72,2)))</f>
        <v>45449</v>
      </c>
      <c r="J72" s="9"/>
      <c r="K72" s="10" t="n">
        <v>2168555</v>
      </c>
      <c r="L72" s="10" t="n">
        <v>20000</v>
      </c>
      <c r="M72" s="10" t="n">
        <v>2188555</v>
      </c>
      <c r="N72" s="10" t="n">
        <v>0</v>
      </c>
      <c r="O72" s="10" t="n">
        <v>20000</v>
      </c>
      <c r="P72" s="10" t="n">
        <v>0</v>
      </c>
      <c r="Q72" s="10" t="n">
        <v>0</v>
      </c>
      <c r="R72" s="10" t="n">
        <v>2168555</v>
      </c>
      <c r="S72" s="10" t="n">
        <v>0</v>
      </c>
      <c r="T72" s="7"/>
      <c r="U72" s="7"/>
      <c r="V72" s="7"/>
      <c r="W72" s="7" t="s">
        <v>49</v>
      </c>
      <c r="X72" s="7"/>
      <c r="Y72" s="7" t="s">
        <v>37</v>
      </c>
      <c r="Z72" s="7" t="s">
        <v>310</v>
      </c>
      <c r="AA72" s="7" t="s">
        <v>311</v>
      </c>
      <c r="AB72" s="10" t="n">
        <v>542138.75</v>
      </c>
      <c r="AC72" s="10" t="n">
        <v>4</v>
      </c>
    </row>
    <row r="73" customFormat="false" ht="15.75" hidden="true" customHeight="true" outlineLevel="0" collapsed="false">
      <c r="A73" s="6"/>
      <c r="B73" s="7" t="s">
        <v>312</v>
      </c>
      <c r="C73" s="7" t="s">
        <v>60</v>
      </c>
      <c r="D73" s="7" t="s">
        <v>61</v>
      </c>
      <c r="E73" s="7" t="s">
        <v>313</v>
      </c>
      <c r="F73" s="8" t="s">
        <v>314</v>
      </c>
      <c r="G73" s="9" t="n">
        <f aca="false">DATE(2000+VALUE(MID(F73,7,2)),VALUE(MID(F73,4,2)),VALUE(LEFT(F73,2)))</f>
        <v>45449</v>
      </c>
      <c r="H73" s="8" t="s">
        <v>315</v>
      </c>
      <c r="I73" s="9" t="n">
        <f aca="false">DATE(2000+VALUE(MID(H73,7,2)),VALUE(MID(H73,4,2)),VALUE(LEFT(H73,2)))</f>
        <v>45450</v>
      </c>
      <c r="J73" s="9"/>
      <c r="K73" s="10" t="n">
        <v>585000</v>
      </c>
      <c r="L73" s="10" t="n">
        <v>0</v>
      </c>
      <c r="M73" s="10" t="n">
        <v>585000</v>
      </c>
      <c r="N73" s="10" t="n">
        <v>0</v>
      </c>
      <c r="O73" s="10" t="n">
        <v>585000</v>
      </c>
      <c r="P73" s="10" t="n">
        <v>0</v>
      </c>
      <c r="Q73" s="10" t="n">
        <v>0</v>
      </c>
      <c r="R73" s="10" t="n">
        <v>0</v>
      </c>
      <c r="S73" s="10" t="n">
        <v>0</v>
      </c>
      <c r="T73" s="7"/>
      <c r="U73" s="7"/>
      <c r="V73" s="7"/>
      <c r="W73" s="7" t="s">
        <v>43</v>
      </c>
      <c r="X73" s="7"/>
      <c r="Y73" s="7" t="s">
        <v>37</v>
      </c>
      <c r="Z73" s="7" t="s">
        <v>316</v>
      </c>
      <c r="AA73" s="7"/>
      <c r="AB73" s="10" t="n">
        <v>585000</v>
      </c>
      <c r="AC73" s="10" t="n">
        <v>1</v>
      </c>
    </row>
    <row r="74" customFormat="false" ht="15.75" hidden="true" customHeight="true" outlineLevel="0" collapsed="false">
      <c r="A74" s="6"/>
      <c r="B74" s="7" t="s">
        <v>305</v>
      </c>
      <c r="C74" s="7" t="s">
        <v>60</v>
      </c>
      <c r="D74" s="7" t="s">
        <v>116</v>
      </c>
      <c r="E74" s="7" t="s">
        <v>317</v>
      </c>
      <c r="F74" s="8" t="s">
        <v>318</v>
      </c>
      <c r="G74" s="9" t="n">
        <f aca="false">DATE(2000+VALUE(MID(F74,7,2)),VALUE(MID(F74,4,2)),VALUE(LEFT(F74,2)))</f>
        <v>45450</v>
      </c>
      <c r="H74" s="8" t="s">
        <v>319</v>
      </c>
      <c r="I74" s="9" t="n">
        <f aca="false">DATE(2000+VALUE(MID(H74,7,2)),VALUE(MID(H74,4,2)),VALUE(LEFT(H74,2)))</f>
        <v>45450</v>
      </c>
      <c r="J74" s="9"/>
      <c r="K74" s="10" t="n">
        <v>585000</v>
      </c>
      <c r="L74" s="10" t="n">
        <v>0</v>
      </c>
      <c r="M74" s="10" t="n">
        <v>585000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585000</v>
      </c>
      <c r="S74" s="10" t="n">
        <v>0</v>
      </c>
      <c r="T74" s="7"/>
      <c r="U74" s="7"/>
      <c r="V74" s="7"/>
      <c r="W74" s="7" t="s">
        <v>43</v>
      </c>
      <c r="X74" s="7"/>
      <c r="Y74" s="7" t="s">
        <v>37</v>
      </c>
      <c r="Z74" s="7" t="s">
        <v>320</v>
      </c>
      <c r="AA74" s="7"/>
      <c r="AB74" s="10" t="n">
        <v>585000</v>
      </c>
      <c r="AC74" s="10" t="n">
        <v>1</v>
      </c>
    </row>
    <row r="75" customFormat="false" ht="15.75" hidden="true" customHeight="true" outlineLevel="0" collapsed="false">
      <c r="A75" s="6"/>
      <c r="B75" s="7" t="s">
        <v>321</v>
      </c>
      <c r="C75" s="7" t="s">
        <v>65</v>
      </c>
      <c r="D75" s="7" t="s">
        <v>66</v>
      </c>
      <c r="E75" s="7" t="s">
        <v>322</v>
      </c>
      <c r="F75" s="8" t="s">
        <v>323</v>
      </c>
      <c r="G75" s="9" t="n">
        <f aca="false">DATE(2000+VALUE(MID(F75,7,2)),VALUE(MID(F75,4,2)),VALUE(LEFT(F75,2)))</f>
        <v>45449</v>
      </c>
      <c r="H75" s="8" t="s">
        <v>324</v>
      </c>
      <c r="I75" s="9" t="n">
        <f aca="false">DATE(2000+VALUE(MID(H75,7,2)),VALUE(MID(H75,4,2)),VALUE(LEFT(H75,2)))</f>
        <v>45450</v>
      </c>
      <c r="J75" s="9"/>
      <c r="K75" s="10" t="n">
        <v>495000</v>
      </c>
      <c r="L75" s="10" t="n">
        <v>150000</v>
      </c>
      <c r="M75" s="10" t="n">
        <v>645000</v>
      </c>
      <c r="N75" s="10" t="n">
        <v>0</v>
      </c>
      <c r="O75" s="10" t="n">
        <v>0</v>
      </c>
      <c r="P75" s="10" t="n">
        <v>0</v>
      </c>
      <c r="Q75" s="10" t="n">
        <v>645000</v>
      </c>
      <c r="R75" s="10" t="n">
        <v>0</v>
      </c>
      <c r="S75" s="10" t="n">
        <v>0</v>
      </c>
      <c r="T75" s="7"/>
      <c r="U75" s="7"/>
      <c r="V75" s="7"/>
      <c r="W75" s="7" t="s">
        <v>43</v>
      </c>
      <c r="X75" s="7"/>
      <c r="Y75" s="7" t="s">
        <v>37</v>
      </c>
      <c r="Z75" s="7" t="s">
        <v>325</v>
      </c>
      <c r="AA75" s="7"/>
      <c r="AB75" s="10" t="n">
        <v>495000</v>
      </c>
      <c r="AC75" s="10" t="n">
        <v>1</v>
      </c>
    </row>
    <row r="76" customFormat="false" ht="15.75" hidden="true" customHeight="true" outlineLevel="0" collapsed="false">
      <c r="A76" s="6"/>
      <c r="B76" s="7" t="s">
        <v>265</v>
      </c>
      <c r="C76" s="7" t="s">
        <v>65</v>
      </c>
      <c r="D76" s="7" t="s">
        <v>82</v>
      </c>
      <c r="E76" s="7" t="s">
        <v>202</v>
      </c>
      <c r="F76" s="8" t="s">
        <v>326</v>
      </c>
      <c r="G76" s="9" t="n">
        <f aca="false">DATE(2000+VALUE(MID(F76,7,2)),VALUE(MID(F76,4,2)),VALUE(LEFT(F76,2)))</f>
        <v>45447</v>
      </c>
      <c r="H76" s="8" t="s">
        <v>327</v>
      </c>
      <c r="I76" s="9" t="n">
        <f aca="false">DATE(2000+VALUE(MID(H76,7,2)),VALUE(MID(H76,4,2)),VALUE(LEFT(H76,2)))</f>
        <v>45450</v>
      </c>
      <c r="J76" s="9"/>
      <c r="K76" s="10" t="n">
        <v>1480000</v>
      </c>
      <c r="L76" s="10" t="n">
        <v>0</v>
      </c>
      <c r="M76" s="10" t="n">
        <v>1480000</v>
      </c>
      <c r="N76" s="10" t="n">
        <v>0</v>
      </c>
      <c r="O76" s="10" t="n">
        <v>0</v>
      </c>
      <c r="P76" s="10" t="n">
        <v>0</v>
      </c>
      <c r="Q76" s="10" t="n">
        <v>1480000</v>
      </c>
      <c r="R76" s="10" t="n">
        <v>0</v>
      </c>
      <c r="S76" s="10" t="n">
        <v>0</v>
      </c>
      <c r="T76" s="7"/>
      <c r="U76" s="7"/>
      <c r="V76" s="7"/>
      <c r="W76" s="7" t="s">
        <v>43</v>
      </c>
      <c r="X76" s="7"/>
      <c r="Y76" s="7" t="s">
        <v>37</v>
      </c>
      <c r="Z76" s="7" t="s">
        <v>328</v>
      </c>
      <c r="AA76" s="7"/>
      <c r="AB76" s="10" t="n">
        <v>493333.3333</v>
      </c>
      <c r="AC76" s="10" t="n">
        <v>3</v>
      </c>
    </row>
    <row r="77" customFormat="false" ht="15.75" hidden="true" customHeight="true" outlineLevel="0" collapsed="false">
      <c r="A77" s="6"/>
      <c r="B77" s="7" t="s">
        <v>265</v>
      </c>
      <c r="C77" s="7" t="s">
        <v>65</v>
      </c>
      <c r="D77" s="7" t="s">
        <v>76</v>
      </c>
      <c r="E77" s="7" t="s">
        <v>329</v>
      </c>
      <c r="F77" s="8" t="s">
        <v>326</v>
      </c>
      <c r="G77" s="9" t="n">
        <f aca="false">DATE(2000+VALUE(MID(F77,7,2)),VALUE(MID(F77,4,2)),VALUE(LEFT(F77,2)))</f>
        <v>45447</v>
      </c>
      <c r="H77" s="8" t="s">
        <v>327</v>
      </c>
      <c r="I77" s="9" t="n">
        <f aca="false">DATE(2000+VALUE(MID(H77,7,2)),VALUE(MID(H77,4,2)),VALUE(LEFT(H77,2)))</f>
        <v>45450</v>
      </c>
      <c r="J77" s="9"/>
      <c r="K77" s="10" t="n">
        <v>1480000</v>
      </c>
      <c r="L77" s="10" t="n">
        <v>0</v>
      </c>
      <c r="M77" s="10" t="n">
        <v>1480000</v>
      </c>
      <c r="N77" s="10" t="n">
        <v>0</v>
      </c>
      <c r="O77" s="10" t="n">
        <v>1000000</v>
      </c>
      <c r="P77" s="10" t="n">
        <v>0</v>
      </c>
      <c r="Q77" s="10" t="n">
        <v>480000</v>
      </c>
      <c r="R77" s="10" t="n">
        <v>0</v>
      </c>
      <c r="S77" s="10" t="n">
        <v>0</v>
      </c>
      <c r="T77" s="7"/>
      <c r="U77" s="7"/>
      <c r="V77" s="7"/>
      <c r="W77" s="7" t="s">
        <v>43</v>
      </c>
      <c r="X77" s="7"/>
      <c r="Y77" s="7" t="s">
        <v>37</v>
      </c>
      <c r="Z77" s="7" t="s">
        <v>289</v>
      </c>
      <c r="AA77" s="7"/>
      <c r="AB77" s="10" t="n">
        <v>493333.3333</v>
      </c>
      <c r="AC77" s="10" t="n">
        <v>3</v>
      </c>
    </row>
    <row r="78" customFormat="false" ht="15.75" hidden="true" customHeight="true" outlineLevel="0" collapsed="false">
      <c r="A78" s="6"/>
      <c r="B78" s="7" t="s">
        <v>297</v>
      </c>
      <c r="C78" s="7" t="s">
        <v>71</v>
      </c>
      <c r="D78" s="7" t="s">
        <v>72</v>
      </c>
      <c r="E78" s="7" t="s">
        <v>330</v>
      </c>
      <c r="F78" s="8" t="s">
        <v>331</v>
      </c>
      <c r="G78" s="9" t="n">
        <f aca="false">DATE(2000+VALUE(MID(F78,7,2)),VALUE(MID(F78,4,2)),VALUE(LEFT(F78,2)))</f>
        <v>45449</v>
      </c>
      <c r="H78" s="8" t="s">
        <v>327</v>
      </c>
      <c r="I78" s="9" t="n">
        <f aca="false">DATE(2000+VALUE(MID(H78,7,2)),VALUE(MID(H78,4,2)),VALUE(LEFT(H78,2)))</f>
        <v>45450</v>
      </c>
      <c r="J78" s="9"/>
      <c r="K78" s="10" t="n">
        <v>444960</v>
      </c>
      <c r="L78" s="10" t="n">
        <v>0</v>
      </c>
      <c r="M78" s="10" t="n">
        <v>444960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444960</v>
      </c>
      <c r="S78" s="10" t="n">
        <v>0</v>
      </c>
      <c r="T78" s="7"/>
      <c r="U78" s="7"/>
      <c r="V78" s="7"/>
      <c r="W78" s="7" t="s">
        <v>49</v>
      </c>
      <c r="X78" s="7"/>
      <c r="Y78" s="7" t="s">
        <v>37</v>
      </c>
      <c r="Z78" s="7" t="s">
        <v>332</v>
      </c>
      <c r="AA78" s="7" t="s">
        <v>333</v>
      </c>
      <c r="AB78" s="10" t="n">
        <v>444960</v>
      </c>
      <c r="AC78" s="10" t="n">
        <v>1</v>
      </c>
    </row>
    <row r="79" customFormat="false" ht="15.75" hidden="true" customHeight="true" outlineLevel="0" collapsed="false">
      <c r="A79" s="6"/>
      <c r="B79" s="7" t="s">
        <v>334</v>
      </c>
      <c r="C79" s="7" t="s">
        <v>31</v>
      </c>
      <c r="D79" s="7" t="s">
        <v>45</v>
      </c>
      <c r="E79" s="7" t="s">
        <v>335</v>
      </c>
      <c r="F79" s="8" t="s">
        <v>336</v>
      </c>
      <c r="G79" s="9" t="n">
        <f aca="false">DATE(2000+VALUE(MID(F79,7,2)),VALUE(MID(F79,4,2)),VALUE(LEFT(F79,2)))</f>
        <v>45449</v>
      </c>
      <c r="H79" s="8" t="s">
        <v>327</v>
      </c>
      <c r="I79" s="9" t="n">
        <f aca="false">DATE(2000+VALUE(MID(H79,7,2)),VALUE(MID(H79,4,2)),VALUE(LEFT(H79,2)))</f>
        <v>45450</v>
      </c>
      <c r="J79" s="9"/>
      <c r="K79" s="10" t="n">
        <v>809000</v>
      </c>
      <c r="L79" s="10" t="n">
        <v>0</v>
      </c>
      <c r="M79" s="10" t="n">
        <v>809000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809000</v>
      </c>
      <c r="S79" s="10" t="n">
        <v>0</v>
      </c>
      <c r="T79" s="7"/>
      <c r="U79" s="7"/>
      <c r="V79" s="7"/>
      <c r="W79" s="7" t="s">
        <v>43</v>
      </c>
      <c r="X79" s="7"/>
      <c r="Y79" s="7" t="s">
        <v>37</v>
      </c>
      <c r="Z79" s="7" t="s">
        <v>337</v>
      </c>
      <c r="AA79" s="7"/>
      <c r="AB79" s="10" t="n">
        <v>809000</v>
      </c>
      <c r="AC79" s="10" t="n">
        <v>1</v>
      </c>
    </row>
    <row r="80" customFormat="false" ht="15.75" hidden="true" customHeight="true" outlineLevel="0" collapsed="false">
      <c r="A80" s="6"/>
      <c r="B80" s="7" t="s">
        <v>338</v>
      </c>
      <c r="C80" s="7" t="s">
        <v>65</v>
      </c>
      <c r="D80" s="7" t="s">
        <v>87</v>
      </c>
      <c r="E80" s="7" t="s">
        <v>339</v>
      </c>
      <c r="F80" s="8" t="s">
        <v>340</v>
      </c>
      <c r="G80" s="9" t="n">
        <f aca="false">DATE(2000+VALUE(MID(F80,7,2)),VALUE(MID(F80,4,2)),VALUE(LEFT(F80,2)))</f>
        <v>45449</v>
      </c>
      <c r="H80" s="8" t="s">
        <v>341</v>
      </c>
      <c r="I80" s="9" t="n">
        <f aca="false">DATE(2000+VALUE(MID(H80,7,2)),VALUE(MID(H80,4,2)),VALUE(LEFT(H80,2)))</f>
        <v>45450</v>
      </c>
      <c r="J80" s="9"/>
      <c r="K80" s="10" t="n">
        <v>549000</v>
      </c>
      <c r="L80" s="10" t="n">
        <v>0</v>
      </c>
      <c r="M80" s="10" t="n">
        <v>494100</v>
      </c>
      <c r="N80" s="10" t="n">
        <v>0</v>
      </c>
      <c r="O80" s="10" t="n">
        <v>94100</v>
      </c>
      <c r="P80" s="10" t="n">
        <v>0</v>
      </c>
      <c r="Q80" s="10" t="n">
        <v>400000</v>
      </c>
      <c r="R80" s="10" t="n">
        <v>0</v>
      </c>
      <c r="S80" s="10" t="n">
        <v>0</v>
      </c>
      <c r="T80" s="7"/>
      <c r="U80" s="7"/>
      <c r="V80" s="7"/>
      <c r="W80" s="7" t="s">
        <v>49</v>
      </c>
      <c r="X80" s="7"/>
      <c r="Y80" s="7" t="s">
        <v>37</v>
      </c>
      <c r="Z80" s="7" t="s">
        <v>334</v>
      </c>
      <c r="AA80" s="7" t="s">
        <v>342</v>
      </c>
      <c r="AB80" s="10" t="n">
        <v>549000</v>
      </c>
      <c r="AC80" s="10" t="n">
        <v>1</v>
      </c>
    </row>
    <row r="81" customFormat="false" ht="15.75" hidden="true" customHeight="true" outlineLevel="0" collapsed="false">
      <c r="A81" s="6"/>
      <c r="B81" s="7" t="s">
        <v>338</v>
      </c>
      <c r="C81" s="7" t="s">
        <v>65</v>
      </c>
      <c r="D81" s="7" t="s">
        <v>96</v>
      </c>
      <c r="E81" s="7" t="s">
        <v>339</v>
      </c>
      <c r="F81" s="8" t="s">
        <v>340</v>
      </c>
      <c r="G81" s="9" t="n">
        <f aca="false">DATE(2000+VALUE(MID(F81,7,2)),VALUE(MID(F81,4,2)),VALUE(LEFT(F81,2)))</f>
        <v>45449</v>
      </c>
      <c r="H81" s="8" t="s">
        <v>341</v>
      </c>
      <c r="I81" s="9" t="n">
        <f aca="false">DATE(2000+VALUE(MID(H81,7,2)),VALUE(MID(H81,4,2)),VALUE(LEFT(H81,2)))</f>
        <v>45450</v>
      </c>
      <c r="J81" s="9"/>
      <c r="K81" s="10" t="n">
        <v>549000</v>
      </c>
      <c r="L81" s="10" t="n">
        <v>0</v>
      </c>
      <c r="M81" s="10" t="n">
        <v>494100</v>
      </c>
      <c r="N81" s="10" t="n">
        <v>0</v>
      </c>
      <c r="O81" s="10" t="n">
        <v>494100</v>
      </c>
      <c r="P81" s="10" t="n">
        <v>0</v>
      </c>
      <c r="Q81" s="10" t="n">
        <v>0</v>
      </c>
      <c r="R81" s="10" t="n">
        <v>0</v>
      </c>
      <c r="S81" s="10" t="n">
        <v>0</v>
      </c>
      <c r="T81" s="7"/>
      <c r="U81" s="7"/>
      <c r="V81" s="7"/>
      <c r="W81" s="7" t="s">
        <v>49</v>
      </c>
      <c r="X81" s="7"/>
      <c r="Y81" s="7" t="s">
        <v>37</v>
      </c>
      <c r="Z81" s="7" t="s">
        <v>343</v>
      </c>
      <c r="AA81" s="7" t="s">
        <v>342</v>
      </c>
      <c r="AB81" s="10" t="n">
        <v>549000</v>
      </c>
      <c r="AC81" s="10" t="n">
        <v>1</v>
      </c>
    </row>
    <row r="82" customFormat="false" ht="15.75" hidden="true" customHeight="true" outlineLevel="0" collapsed="false">
      <c r="A82" s="6"/>
      <c r="B82" s="7" t="s">
        <v>344</v>
      </c>
      <c r="C82" s="7" t="s">
        <v>65</v>
      </c>
      <c r="D82" s="7" t="s">
        <v>87</v>
      </c>
      <c r="E82" s="7" t="s">
        <v>339</v>
      </c>
      <c r="F82" s="8" t="s">
        <v>345</v>
      </c>
      <c r="G82" s="9" t="n">
        <f aca="false">DATE(2000+VALUE(MID(F82,7,2)),VALUE(MID(F82,4,2)),VALUE(LEFT(F82,2)))</f>
        <v>45450</v>
      </c>
      <c r="H82" s="8" t="s">
        <v>346</v>
      </c>
      <c r="I82" s="9" t="n">
        <f aca="false">DATE(2000+VALUE(MID(H82,7,2)),VALUE(MID(H82,4,2)),VALUE(LEFT(H82,2)))</f>
        <v>45451</v>
      </c>
      <c r="J82" s="9"/>
      <c r="K82" s="10" t="n">
        <v>550000</v>
      </c>
      <c r="L82" s="10" t="n">
        <v>0</v>
      </c>
      <c r="M82" s="10" t="n">
        <v>550000</v>
      </c>
      <c r="N82" s="10" t="n">
        <v>0</v>
      </c>
      <c r="O82" s="10" t="n">
        <v>550000</v>
      </c>
      <c r="P82" s="10" t="n">
        <v>0</v>
      </c>
      <c r="Q82" s="10" t="n">
        <v>0</v>
      </c>
      <c r="R82" s="10" t="n">
        <v>0</v>
      </c>
      <c r="S82" s="10" t="n">
        <v>0</v>
      </c>
      <c r="T82" s="7"/>
      <c r="U82" s="7"/>
      <c r="V82" s="7"/>
      <c r="W82" s="7" t="s">
        <v>43</v>
      </c>
      <c r="X82" s="7"/>
      <c r="Y82" s="7" t="s">
        <v>37</v>
      </c>
      <c r="Z82" s="7" t="s">
        <v>347</v>
      </c>
      <c r="AA82" s="7"/>
      <c r="AB82" s="10" t="n">
        <v>550000</v>
      </c>
      <c r="AC82" s="10" t="n">
        <v>1</v>
      </c>
    </row>
    <row r="83" customFormat="false" ht="15.75" hidden="true" customHeight="true" outlineLevel="0" collapsed="false">
      <c r="A83" s="6"/>
      <c r="B83" s="7" t="s">
        <v>348</v>
      </c>
      <c r="C83" s="7" t="s">
        <v>31</v>
      </c>
      <c r="D83" s="7" t="s">
        <v>32</v>
      </c>
      <c r="E83" s="7" t="s">
        <v>349</v>
      </c>
      <c r="F83" s="8" t="s">
        <v>350</v>
      </c>
      <c r="G83" s="9" t="n">
        <f aca="false">DATE(2000+VALUE(MID(F83,7,2)),VALUE(MID(F83,4,2)),VALUE(LEFT(F83,2)))</f>
        <v>45449</v>
      </c>
      <c r="H83" s="8" t="s">
        <v>351</v>
      </c>
      <c r="I83" s="9" t="n">
        <f aca="false">DATE(2000+VALUE(MID(H83,7,2)),VALUE(MID(H83,4,2)),VALUE(LEFT(H83,2)))</f>
        <v>45451</v>
      </c>
      <c r="J83" s="9"/>
      <c r="K83" s="10" t="n">
        <v>1600000</v>
      </c>
      <c r="L83" s="10" t="n">
        <v>0</v>
      </c>
      <c r="M83" s="10" t="n">
        <v>1600000</v>
      </c>
      <c r="N83" s="10" t="n">
        <v>0</v>
      </c>
      <c r="O83" s="10" t="n">
        <v>1600000</v>
      </c>
      <c r="P83" s="10" t="n">
        <v>0</v>
      </c>
      <c r="Q83" s="10" t="n">
        <v>0</v>
      </c>
      <c r="R83" s="10" t="n">
        <v>0</v>
      </c>
      <c r="S83" s="10" t="n">
        <v>0</v>
      </c>
      <c r="T83" s="7"/>
      <c r="U83" s="7"/>
      <c r="V83" s="7"/>
      <c r="W83" s="7" t="s">
        <v>43</v>
      </c>
      <c r="X83" s="7"/>
      <c r="Y83" s="7" t="s">
        <v>37</v>
      </c>
      <c r="Z83" s="7" t="s">
        <v>344</v>
      </c>
      <c r="AA83" s="7"/>
      <c r="AB83" s="10" t="n">
        <v>800000</v>
      </c>
      <c r="AC83" s="10" t="n">
        <v>2</v>
      </c>
    </row>
    <row r="84" customFormat="false" ht="15.75" hidden="true" customHeight="true" outlineLevel="0" collapsed="false">
      <c r="A84" s="6"/>
      <c r="B84" s="7" t="s">
        <v>352</v>
      </c>
      <c r="C84" s="7" t="s">
        <v>60</v>
      </c>
      <c r="D84" s="7" t="s">
        <v>173</v>
      </c>
      <c r="E84" s="7" t="s">
        <v>330</v>
      </c>
      <c r="F84" s="8" t="s">
        <v>353</v>
      </c>
      <c r="G84" s="9" t="n">
        <f aca="false">DATE(2000+VALUE(MID(F84,7,2)),VALUE(MID(F84,4,2)),VALUE(LEFT(F84,2)))</f>
        <v>45450</v>
      </c>
      <c r="H84" s="8" t="s">
        <v>354</v>
      </c>
      <c r="I84" s="9" t="n">
        <f aca="false">DATE(2000+VALUE(MID(H84,7,2)),VALUE(MID(H84,4,2)),VALUE(LEFT(H84,2)))</f>
        <v>45451</v>
      </c>
      <c r="J84" s="9"/>
      <c r="K84" s="10" t="n">
        <v>525600</v>
      </c>
      <c r="L84" s="10" t="n">
        <v>0</v>
      </c>
      <c r="M84" s="10" t="n">
        <v>525600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525600</v>
      </c>
      <c r="S84" s="10" t="n">
        <v>0</v>
      </c>
      <c r="T84" s="7"/>
      <c r="U84" s="7"/>
      <c r="V84" s="7"/>
      <c r="W84" s="7" t="s">
        <v>49</v>
      </c>
      <c r="X84" s="7"/>
      <c r="Y84" s="7" t="s">
        <v>37</v>
      </c>
      <c r="Z84" s="7" t="s">
        <v>355</v>
      </c>
      <c r="AA84" s="7" t="s">
        <v>356</v>
      </c>
      <c r="AB84" s="10" t="n">
        <v>525600</v>
      </c>
      <c r="AC84" s="10" t="n">
        <v>1</v>
      </c>
    </row>
    <row r="85" customFormat="false" ht="15.75" hidden="true" customHeight="true" outlineLevel="0" collapsed="false">
      <c r="A85" s="6"/>
      <c r="B85" s="7" t="s">
        <v>357</v>
      </c>
      <c r="C85" s="7" t="s">
        <v>71</v>
      </c>
      <c r="D85" s="7" t="s">
        <v>92</v>
      </c>
      <c r="E85" s="7" t="s">
        <v>274</v>
      </c>
      <c r="F85" s="8" t="s">
        <v>358</v>
      </c>
      <c r="G85" s="9" t="n">
        <f aca="false">DATE(2000+VALUE(MID(F85,7,2)),VALUE(MID(F85,4,2)),VALUE(LEFT(F85,2)))</f>
        <v>45449</v>
      </c>
      <c r="H85" s="8" t="s">
        <v>359</v>
      </c>
      <c r="I85" s="9" t="n">
        <f aca="false">DATE(2000+VALUE(MID(H85,7,2)),VALUE(MID(H85,4,2)),VALUE(LEFT(H85,2)))</f>
        <v>45451</v>
      </c>
      <c r="J85" s="9"/>
      <c r="K85" s="10" t="n">
        <v>1069034</v>
      </c>
      <c r="L85" s="10" t="n">
        <v>0</v>
      </c>
      <c r="M85" s="10" t="n">
        <v>1069034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1069034</v>
      </c>
      <c r="S85" s="10" t="n">
        <v>0</v>
      </c>
      <c r="T85" s="7"/>
      <c r="U85" s="7"/>
      <c r="V85" s="7"/>
      <c r="W85" s="7" t="s">
        <v>49</v>
      </c>
      <c r="X85" s="7"/>
      <c r="Y85" s="7" t="s">
        <v>37</v>
      </c>
      <c r="Z85" s="7" t="s">
        <v>312</v>
      </c>
      <c r="AA85" s="7" t="s">
        <v>360</v>
      </c>
      <c r="AB85" s="10" t="n">
        <v>534517</v>
      </c>
      <c r="AC85" s="10" t="n">
        <v>2</v>
      </c>
    </row>
    <row r="86" customFormat="false" ht="15.75" hidden="true" customHeight="true" outlineLevel="0" collapsed="false">
      <c r="A86" s="6"/>
      <c r="B86" s="7" t="s">
        <v>173</v>
      </c>
      <c r="C86" s="7" t="s">
        <v>31</v>
      </c>
      <c r="D86" s="7" t="s">
        <v>361</v>
      </c>
      <c r="E86" s="7" t="s">
        <v>362</v>
      </c>
      <c r="F86" s="8" t="s">
        <v>363</v>
      </c>
      <c r="G86" s="9" t="n">
        <f aca="false">DATE(2000+VALUE(MID(F86,7,2)),VALUE(MID(F86,4,2)),VALUE(LEFT(F86,2)))</f>
        <v>45451</v>
      </c>
      <c r="H86" s="8" t="s">
        <v>364</v>
      </c>
      <c r="I86" s="9" t="n">
        <f aca="false">DATE(2000+VALUE(MID(H86,7,2)),VALUE(MID(H86,4,2)),VALUE(LEFT(H86,2)))</f>
        <v>45451</v>
      </c>
      <c r="J86" s="9"/>
      <c r="K86" s="10" t="n">
        <v>450000</v>
      </c>
      <c r="L86" s="10" t="n">
        <v>0</v>
      </c>
      <c r="M86" s="10" t="n">
        <v>450000</v>
      </c>
      <c r="N86" s="10" t="n">
        <v>0</v>
      </c>
      <c r="O86" s="10" t="n">
        <v>-50000</v>
      </c>
      <c r="P86" s="10" t="n">
        <v>0</v>
      </c>
      <c r="Q86" s="10" t="n">
        <v>500000</v>
      </c>
      <c r="R86" s="10" t="n">
        <v>0</v>
      </c>
      <c r="S86" s="10" t="n">
        <v>0</v>
      </c>
      <c r="T86" s="7"/>
      <c r="U86" s="7"/>
      <c r="V86" s="7"/>
      <c r="W86" s="7" t="s">
        <v>43</v>
      </c>
      <c r="X86" s="7"/>
      <c r="Y86" s="7" t="s">
        <v>37</v>
      </c>
      <c r="Z86" s="7" t="s">
        <v>365</v>
      </c>
      <c r="AA86" s="7"/>
      <c r="AB86" s="10" t="n">
        <v>450000</v>
      </c>
      <c r="AC86" s="10" t="n">
        <v>1</v>
      </c>
    </row>
    <row r="87" customFormat="false" ht="15.75" hidden="true" customHeight="true" outlineLevel="0" collapsed="false">
      <c r="A87" s="6"/>
      <c r="B87" s="7" t="s">
        <v>355</v>
      </c>
      <c r="C87" s="7" t="s">
        <v>71</v>
      </c>
      <c r="D87" s="7" t="s">
        <v>72</v>
      </c>
      <c r="E87" s="7" t="s">
        <v>366</v>
      </c>
      <c r="F87" s="8" t="s">
        <v>367</v>
      </c>
      <c r="G87" s="9" t="n">
        <f aca="false">DATE(2000+VALUE(MID(F87,7,2)),VALUE(MID(F87,4,2)),VALUE(LEFT(F87,2)))</f>
        <v>45451</v>
      </c>
      <c r="H87" s="8" t="s">
        <v>368</v>
      </c>
      <c r="I87" s="9" t="n">
        <f aca="false">DATE(2000+VALUE(MID(H87,7,2)),VALUE(MID(H87,4,2)),VALUE(LEFT(H87,2)))</f>
        <v>45451</v>
      </c>
      <c r="J87" s="9"/>
      <c r="K87" s="10" t="n">
        <v>350000</v>
      </c>
      <c r="L87" s="10" t="n">
        <v>0</v>
      </c>
      <c r="M87" s="10" t="n">
        <v>350000</v>
      </c>
      <c r="N87" s="10" t="n">
        <v>0</v>
      </c>
      <c r="O87" s="10" t="n">
        <v>350000</v>
      </c>
      <c r="P87" s="10" t="n">
        <v>0</v>
      </c>
      <c r="Q87" s="10" t="n">
        <v>0</v>
      </c>
      <c r="R87" s="10" t="n">
        <v>0</v>
      </c>
      <c r="S87" s="10" t="n">
        <v>0</v>
      </c>
      <c r="T87" s="7"/>
      <c r="U87" s="7"/>
      <c r="V87" s="7"/>
      <c r="W87" s="7" t="s">
        <v>43</v>
      </c>
      <c r="X87" s="7"/>
      <c r="Y87" s="7" t="s">
        <v>37</v>
      </c>
      <c r="Z87" s="7" t="s">
        <v>369</v>
      </c>
      <c r="AA87" s="7"/>
      <c r="AB87" s="10" t="n">
        <v>350000</v>
      </c>
      <c r="AC87" s="10" t="n">
        <v>1</v>
      </c>
    </row>
    <row r="88" customFormat="false" ht="15.75" hidden="true" customHeight="true" outlineLevel="0" collapsed="false">
      <c r="A88" s="6"/>
      <c r="B88" s="7" t="s">
        <v>156</v>
      </c>
      <c r="C88" s="7" t="s">
        <v>65</v>
      </c>
      <c r="D88" s="7" t="s">
        <v>66</v>
      </c>
      <c r="E88" s="7" t="s">
        <v>370</v>
      </c>
      <c r="F88" s="8" t="s">
        <v>371</v>
      </c>
      <c r="G88" s="9" t="n">
        <f aca="false">DATE(2000+VALUE(MID(F88,7,2)),VALUE(MID(F88,4,2)),VALUE(LEFT(F88,2)))</f>
        <v>45451</v>
      </c>
      <c r="H88" s="8" t="s">
        <v>372</v>
      </c>
      <c r="I88" s="9" t="n">
        <f aca="false">DATE(2000+VALUE(MID(H88,7,2)),VALUE(MID(H88,4,2)),VALUE(LEFT(H88,2)))</f>
        <v>45452</v>
      </c>
      <c r="J88" s="9"/>
      <c r="K88" s="10" t="n">
        <v>580000</v>
      </c>
      <c r="L88" s="10" t="n">
        <v>0</v>
      </c>
      <c r="M88" s="10" t="n">
        <v>580000</v>
      </c>
      <c r="N88" s="10" t="n">
        <v>0</v>
      </c>
      <c r="O88" s="10" t="n">
        <v>0</v>
      </c>
      <c r="P88" s="10" t="n">
        <v>0</v>
      </c>
      <c r="Q88" s="10" t="n">
        <v>580000</v>
      </c>
      <c r="R88" s="10" t="n">
        <v>0</v>
      </c>
      <c r="S88" s="10" t="n">
        <v>0</v>
      </c>
      <c r="T88" s="7"/>
      <c r="U88" s="7"/>
      <c r="V88" s="7"/>
      <c r="W88" s="7" t="s">
        <v>43</v>
      </c>
      <c r="X88" s="7"/>
      <c r="Y88" s="7" t="s">
        <v>37</v>
      </c>
      <c r="Z88" s="7" t="s">
        <v>373</v>
      </c>
      <c r="AA88" s="7"/>
      <c r="AB88" s="10" t="n">
        <v>580000</v>
      </c>
      <c r="AC88" s="10" t="n">
        <v>1</v>
      </c>
    </row>
    <row r="89" customFormat="false" ht="15.75" hidden="true" customHeight="true" outlineLevel="0" collapsed="false">
      <c r="A89" s="6"/>
      <c r="B89" s="7" t="s">
        <v>316</v>
      </c>
      <c r="C89" s="7" t="s">
        <v>31</v>
      </c>
      <c r="D89" s="7" t="s">
        <v>39</v>
      </c>
      <c r="E89" s="7" t="s">
        <v>67</v>
      </c>
      <c r="F89" s="8" t="s">
        <v>371</v>
      </c>
      <c r="G89" s="9" t="n">
        <f aca="false">DATE(2000+VALUE(MID(F89,7,2)),VALUE(MID(F89,4,2)),VALUE(LEFT(F89,2)))</f>
        <v>45451</v>
      </c>
      <c r="H89" s="8" t="s">
        <v>374</v>
      </c>
      <c r="I89" s="9" t="n">
        <f aca="false">DATE(2000+VALUE(MID(H89,7,2)),VALUE(MID(H89,4,2)),VALUE(LEFT(H89,2)))</f>
        <v>45452</v>
      </c>
      <c r="J89" s="9"/>
      <c r="K89" s="10" t="n">
        <v>800000</v>
      </c>
      <c r="L89" s="10" t="n">
        <v>0</v>
      </c>
      <c r="M89" s="10" t="n">
        <v>800000</v>
      </c>
      <c r="N89" s="10" t="n">
        <v>0</v>
      </c>
      <c r="O89" s="10" t="n">
        <v>400000</v>
      </c>
      <c r="P89" s="10" t="n">
        <v>0</v>
      </c>
      <c r="Q89" s="10" t="n">
        <v>400000</v>
      </c>
      <c r="R89" s="10" t="n">
        <v>0</v>
      </c>
      <c r="S89" s="10" t="n">
        <v>0</v>
      </c>
      <c r="T89" s="7"/>
      <c r="U89" s="7"/>
      <c r="V89" s="7"/>
      <c r="W89" s="7" t="s">
        <v>43</v>
      </c>
      <c r="X89" s="7"/>
      <c r="Y89" s="7" t="s">
        <v>37</v>
      </c>
      <c r="Z89" s="7" t="s">
        <v>375</v>
      </c>
      <c r="AA89" s="7"/>
      <c r="AB89" s="10" t="n">
        <v>800000</v>
      </c>
      <c r="AC89" s="10" t="n">
        <v>1</v>
      </c>
    </row>
    <row r="90" customFormat="false" ht="15.75" hidden="true" customHeight="true" outlineLevel="0" collapsed="false">
      <c r="A90" s="6"/>
      <c r="B90" s="7" t="s">
        <v>332</v>
      </c>
      <c r="C90" s="7" t="s">
        <v>65</v>
      </c>
      <c r="D90" s="7" t="s">
        <v>76</v>
      </c>
      <c r="E90" s="7" t="s">
        <v>376</v>
      </c>
      <c r="F90" s="8" t="s">
        <v>377</v>
      </c>
      <c r="G90" s="9" t="n">
        <f aca="false">DATE(2000+VALUE(MID(F90,7,2)),VALUE(MID(F90,4,2)),VALUE(LEFT(F90,2)))</f>
        <v>45451</v>
      </c>
      <c r="H90" s="8" t="s">
        <v>378</v>
      </c>
      <c r="I90" s="9" t="n">
        <f aca="false">DATE(2000+VALUE(MID(H90,7,2)),VALUE(MID(H90,4,2)),VALUE(LEFT(H90,2)))</f>
        <v>45452</v>
      </c>
      <c r="J90" s="9"/>
      <c r="K90" s="10" t="n">
        <v>585000</v>
      </c>
      <c r="L90" s="10" t="n">
        <v>19000</v>
      </c>
      <c r="M90" s="10" t="n">
        <v>604000</v>
      </c>
      <c r="N90" s="10" t="n">
        <v>0</v>
      </c>
      <c r="O90" s="10" t="n">
        <v>19000</v>
      </c>
      <c r="P90" s="10" t="n">
        <v>0</v>
      </c>
      <c r="Q90" s="10" t="n">
        <v>585000</v>
      </c>
      <c r="R90" s="10" t="n">
        <v>0</v>
      </c>
      <c r="S90" s="10" t="n">
        <v>0</v>
      </c>
      <c r="T90" s="7"/>
      <c r="U90" s="7"/>
      <c r="V90" s="7"/>
      <c r="W90" s="7" t="s">
        <v>43</v>
      </c>
      <c r="X90" s="7"/>
      <c r="Y90" s="7" t="s">
        <v>37</v>
      </c>
      <c r="Z90" s="7" t="s">
        <v>379</v>
      </c>
      <c r="AA90" s="7"/>
      <c r="AB90" s="10" t="n">
        <v>585000</v>
      </c>
      <c r="AC90" s="10" t="n">
        <v>1</v>
      </c>
    </row>
    <row r="91" customFormat="false" ht="15.75" hidden="true" customHeight="true" outlineLevel="0" collapsed="false">
      <c r="A91" s="6"/>
      <c r="B91" s="7" t="s">
        <v>337</v>
      </c>
      <c r="C91" s="7" t="s">
        <v>60</v>
      </c>
      <c r="D91" s="7" t="s">
        <v>61</v>
      </c>
      <c r="E91" s="7" t="s">
        <v>380</v>
      </c>
      <c r="F91" s="8" t="s">
        <v>381</v>
      </c>
      <c r="G91" s="9" t="n">
        <f aca="false">DATE(2000+VALUE(MID(F91,7,2)),VALUE(MID(F91,4,2)),VALUE(LEFT(F91,2)))</f>
        <v>45451</v>
      </c>
      <c r="H91" s="8" t="s">
        <v>382</v>
      </c>
      <c r="I91" s="9" t="n">
        <f aca="false">DATE(2000+VALUE(MID(H91,7,2)),VALUE(MID(H91,4,2)),VALUE(LEFT(H91,2)))</f>
        <v>45452</v>
      </c>
      <c r="J91" s="9"/>
      <c r="K91" s="10" t="n">
        <v>585000</v>
      </c>
      <c r="L91" s="10" t="n">
        <v>0</v>
      </c>
      <c r="M91" s="10" t="n">
        <v>585000</v>
      </c>
      <c r="N91" s="10" t="n">
        <v>0</v>
      </c>
      <c r="O91" s="10" t="n">
        <v>0</v>
      </c>
      <c r="P91" s="10" t="n">
        <v>0</v>
      </c>
      <c r="Q91" s="10" t="n">
        <v>585000</v>
      </c>
      <c r="R91" s="10" t="n">
        <v>0</v>
      </c>
      <c r="S91" s="10" t="n">
        <v>0</v>
      </c>
      <c r="T91" s="7"/>
      <c r="U91" s="7"/>
      <c r="V91" s="7"/>
      <c r="W91" s="7" t="s">
        <v>43</v>
      </c>
      <c r="X91" s="7"/>
      <c r="Y91" s="7" t="s">
        <v>37</v>
      </c>
      <c r="Z91" s="7" t="s">
        <v>383</v>
      </c>
      <c r="AA91" s="7"/>
      <c r="AB91" s="10" t="n">
        <v>585000</v>
      </c>
      <c r="AC91" s="10" t="n">
        <v>1</v>
      </c>
    </row>
    <row r="92" customFormat="false" ht="15.75" hidden="true" customHeight="true" outlineLevel="0" collapsed="false">
      <c r="A92" s="6"/>
      <c r="B92" s="7" t="s">
        <v>384</v>
      </c>
      <c r="C92" s="7" t="s">
        <v>65</v>
      </c>
      <c r="D92" s="7" t="s">
        <v>156</v>
      </c>
      <c r="E92" s="7" t="s">
        <v>385</v>
      </c>
      <c r="F92" s="8" t="s">
        <v>386</v>
      </c>
      <c r="G92" s="9" t="n">
        <f aca="false">DATE(2000+VALUE(MID(F92,7,2)),VALUE(MID(F92,4,2)),VALUE(LEFT(F92,2)))</f>
        <v>45452</v>
      </c>
      <c r="H92" s="8" t="s">
        <v>387</v>
      </c>
      <c r="I92" s="9" t="n">
        <f aca="false">DATE(2000+VALUE(MID(H92,7,2)),VALUE(MID(H92,4,2)),VALUE(LEFT(H92,2)))</f>
        <v>45452</v>
      </c>
      <c r="J92" s="9"/>
      <c r="K92" s="10" t="n">
        <v>410000</v>
      </c>
      <c r="L92" s="10" t="n">
        <v>20000</v>
      </c>
      <c r="M92" s="10" t="n">
        <v>430000</v>
      </c>
      <c r="N92" s="10" t="n">
        <v>0</v>
      </c>
      <c r="O92" s="10" t="n">
        <v>0</v>
      </c>
      <c r="P92" s="10" t="n">
        <v>0</v>
      </c>
      <c r="Q92" s="10" t="n">
        <v>430000</v>
      </c>
      <c r="R92" s="10" t="n">
        <v>0</v>
      </c>
      <c r="S92" s="10" t="n">
        <v>0</v>
      </c>
      <c r="T92" s="7"/>
      <c r="U92" s="7"/>
      <c r="V92" s="7"/>
      <c r="W92" s="7" t="s">
        <v>43</v>
      </c>
      <c r="X92" s="7"/>
      <c r="Y92" s="7" t="s">
        <v>37</v>
      </c>
      <c r="Z92" s="7" t="s">
        <v>388</v>
      </c>
      <c r="AA92" s="7"/>
      <c r="AB92" s="10" t="n">
        <v>410000</v>
      </c>
      <c r="AC92" s="10" t="n">
        <v>1</v>
      </c>
    </row>
    <row r="93" customFormat="false" ht="15.75" hidden="true" customHeight="true" outlineLevel="0" collapsed="false">
      <c r="A93" s="6"/>
      <c r="B93" s="7" t="s">
        <v>389</v>
      </c>
      <c r="C93" s="7" t="s">
        <v>31</v>
      </c>
      <c r="D93" s="7" t="s">
        <v>32</v>
      </c>
      <c r="E93" s="7" t="s">
        <v>390</v>
      </c>
      <c r="F93" s="8" t="s">
        <v>391</v>
      </c>
      <c r="G93" s="9" t="n">
        <f aca="false">DATE(2000+VALUE(MID(F93,7,2)),VALUE(MID(F93,4,2)),VALUE(LEFT(F93,2)))</f>
        <v>45451</v>
      </c>
      <c r="H93" s="8" t="s">
        <v>392</v>
      </c>
      <c r="I93" s="9" t="n">
        <f aca="false">DATE(2000+VALUE(MID(H93,7,2)),VALUE(MID(H93,4,2)),VALUE(LEFT(H93,2)))</f>
        <v>45452</v>
      </c>
      <c r="J93" s="9"/>
      <c r="K93" s="10" t="n">
        <v>1139000</v>
      </c>
      <c r="L93" s="10" t="n">
        <v>160000</v>
      </c>
      <c r="M93" s="10" t="n">
        <v>1299000</v>
      </c>
      <c r="N93" s="10" t="n">
        <v>0</v>
      </c>
      <c r="O93" s="10" t="n">
        <v>0</v>
      </c>
      <c r="P93" s="10" t="n">
        <v>0</v>
      </c>
      <c r="Q93" s="10" t="n">
        <v>1299000</v>
      </c>
      <c r="R93" s="10" t="n">
        <v>0</v>
      </c>
      <c r="S93" s="10" t="n">
        <v>0</v>
      </c>
      <c r="T93" s="7"/>
      <c r="U93" s="7"/>
      <c r="V93" s="7"/>
      <c r="W93" s="7" t="s">
        <v>43</v>
      </c>
      <c r="X93" s="7"/>
      <c r="Y93" s="7" t="s">
        <v>37</v>
      </c>
      <c r="Z93" s="7" t="s">
        <v>338</v>
      </c>
      <c r="AA93" s="7"/>
      <c r="AB93" s="10" t="n">
        <v>1139000</v>
      </c>
      <c r="AC93" s="10" t="n">
        <v>1</v>
      </c>
    </row>
    <row r="94" customFormat="false" ht="15.75" hidden="true" customHeight="true" outlineLevel="0" collapsed="false">
      <c r="A94" s="6"/>
      <c r="B94" s="7" t="s">
        <v>328</v>
      </c>
      <c r="C94" s="7" t="s">
        <v>65</v>
      </c>
      <c r="D94" s="7" t="s">
        <v>76</v>
      </c>
      <c r="E94" s="7" t="s">
        <v>393</v>
      </c>
      <c r="F94" s="8" t="s">
        <v>394</v>
      </c>
      <c r="G94" s="9" t="n">
        <f aca="false">DATE(2000+VALUE(MID(F94,7,2)),VALUE(MID(F94,4,2)),VALUE(LEFT(F94,2)))</f>
        <v>45452</v>
      </c>
      <c r="H94" s="8" t="s">
        <v>395</v>
      </c>
      <c r="I94" s="9" t="n">
        <f aca="false">DATE(2000+VALUE(MID(H94,7,2)),VALUE(MID(H94,4,2)),VALUE(LEFT(H94,2)))</f>
        <v>45452</v>
      </c>
      <c r="J94" s="9"/>
      <c r="K94" s="10" t="n">
        <v>300000</v>
      </c>
      <c r="L94" s="10" t="n">
        <v>0</v>
      </c>
      <c r="M94" s="10" t="n">
        <v>300000</v>
      </c>
      <c r="N94" s="10" t="n">
        <v>0</v>
      </c>
      <c r="O94" s="10" t="n">
        <v>0</v>
      </c>
      <c r="P94" s="10" t="n">
        <v>0</v>
      </c>
      <c r="Q94" s="10" t="n">
        <v>300000</v>
      </c>
      <c r="R94" s="10" t="n">
        <v>0</v>
      </c>
      <c r="S94" s="10" t="n">
        <v>0</v>
      </c>
      <c r="T94" s="7"/>
      <c r="U94" s="7"/>
      <c r="V94" s="7"/>
      <c r="W94" s="7" t="s">
        <v>43</v>
      </c>
      <c r="X94" s="7"/>
      <c r="Y94" s="7" t="s">
        <v>37</v>
      </c>
      <c r="Z94" s="7" t="s">
        <v>348</v>
      </c>
      <c r="AA94" s="7"/>
      <c r="AB94" s="10" t="n">
        <v>300000</v>
      </c>
      <c r="AC94" s="10" t="n">
        <v>1</v>
      </c>
    </row>
    <row r="95" customFormat="false" ht="15.75" hidden="true" customHeight="true" outlineLevel="0" collapsed="false">
      <c r="A95" s="6"/>
      <c r="B95" s="7" t="s">
        <v>396</v>
      </c>
      <c r="C95" s="7" t="s">
        <v>65</v>
      </c>
      <c r="D95" s="7" t="s">
        <v>76</v>
      </c>
      <c r="E95" s="7" t="s">
        <v>397</v>
      </c>
      <c r="F95" s="8" t="s">
        <v>398</v>
      </c>
      <c r="G95" s="9" t="n">
        <f aca="false">DATE(2000+VALUE(MID(F95,7,2)),VALUE(MID(F95,4,2)),VALUE(LEFT(F95,2)))</f>
        <v>45452</v>
      </c>
      <c r="H95" s="8" t="s">
        <v>399</v>
      </c>
      <c r="I95" s="9" t="n">
        <f aca="false">DATE(2000+VALUE(MID(H95,7,2)),VALUE(MID(H95,4,2)),VALUE(LEFT(H95,2)))</f>
        <v>45453</v>
      </c>
      <c r="J95" s="9"/>
      <c r="K95" s="10" t="n">
        <v>495000</v>
      </c>
      <c r="L95" s="10" t="n">
        <v>0</v>
      </c>
      <c r="M95" s="10" t="n">
        <v>495000</v>
      </c>
      <c r="N95" s="10" t="n">
        <v>0</v>
      </c>
      <c r="O95" s="10" t="n">
        <v>0</v>
      </c>
      <c r="P95" s="10" t="n">
        <v>0</v>
      </c>
      <c r="Q95" s="10" t="n">
        <v>495000</v>
      </c>
      <c r="R95" s="10" t="n">
        <v>0</v>
      </c>
      <c r="S95" s="10" t="n">
        <v>0</v>
      </c>
      <c r="T95" s="7"/>
      <c r="U95" s="7"/>
      <c r="V95" s="7"/>
      <c r="W95" s="7" t="s">
        <v>43</v>
      </c>
      <c r="X95" s="7"/>
      <c r="Y95" s="7" t="s">
        <v>37</v>
      </c>
      <c r="Z95" s="7" t="s">
        <v>400</v>
      </c>
      <c r="AA95" s="7"/>
      <c r="AB95" s="10" t="n">
        <v>495000</v>
      </c>
      <c r="AC95" s="10" t="n">
        <v>1</v>
      </c>
    </row>
    <row r="96" customFormat="false" ht="15.75" hidden="true" customHeight="true" outlineLevel="0" collapsed="false">
      <c r="A96" s="6"/>
      <c r="B96" s="7" t="s">
        <v>401</v>
      </c>
      <c r="C96" s="7" t="s">
        <v>31</v>
      </c>
      <c r="D96" s="7" t="s">
        <v>45</v>
      </c>
      <c r="E96" s="7" t="s">
        <v>402</v>
      </c>
      <c r="F96" s="8" t="s">
        <v>403</v>
      </c>
      <c r="G96" s="9" t="n">
        <f aca="false">DATE(2000+VALUE(MID(F96,7,2)),VALUE(MID(F96,4,2)),VALUE(LEFT(F96,2)))</f>
        <v>45450</v>
      </c>
      <c r="H96" s="8" t="s">
        <v>404</v>
      </c>
      <c r="I96" s="9" t="n">
        <f aca="false">DATE(2000+VALUE(MID(H96,7,2)),VALUE(MID(H96,4,2)),VALUE(LEFT(H96,2)))</f>
        <v>45453</v>
      </c>
      <c r="J96" s="9"/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7"/>
      <c r="U96" s="7"/>
      <c r="V96" s="7"/>
      <c r="W96" s="7" t="s">
        <v>113</v>
      </c>
      <c r="X96" s="7"/>
      <c r="Y96" s="7" t="s">
        <v>37</v>
      </c>
      <c r="Z96" s="7" t="s">
        <v>405</v>
      </c>
      <c r="AA96" s="7"/>
      <c r="AB96" s="10" t="n">
        <v>0</v>
      </c>
      <c r="AC96" s="10" t="n">
        <v>3</v>
      </c>
    </row>
    <row r="97" customFormat="false" ht="15.75" hidden="true" customHeight="true" outlineLevel="0" collapsed="false">
      <c r="A97" s="6"/>
      <c r="B97" s="7" t="s">
        <v>325</v>
      </c>
      <c r="C97" s="7" t="s">
        <v>71</v>
      </c>
      <c r="D97" s="7" t="s">
        <v>92</v>
      </c>
      <c r="E97" s="7" t="s">
        <v>406</v>
      </c>
      <c r="F97" s="8" t="s">
        <v>407</v>
      </c>
      <c r="G97" s="9" t="n">
        <f aca="false">DATE(2000+VALUE(MID(F97,7,2)),VALUE(MID(F97,4,2)),VALUE(LEFT(F97,2)))</f>
        <v>45452</v>
      </c>
      <c r="H97" s="8" t="s">
        <v>408</v>
      </c>
      <c r="I97" s="9" t="n">
        <f aca="false">DATE(2000+VALUE(MID(H97,7,2)),VALUE(MID(H97,4,2)),VALUE(LEFT(H97,2)))</f>
        <v>45453</v>
      </c>
      <c r="J97" s="9"/>
      <c r="K97" s="10" t="n">
        <v>629100</v>
      </c>
      <c r="L97" s="10" t="n">
        <v>0</v>
      </c>
      <c r="M97" s="10" t="n">
        <v>629100</v>
      </c>
      <c r="N97" s="10" t="n">
        <v>0</v>
      </c>
      <c r="O97" s="10" t="n">
        <v>329100</v>
      </c>
      <c r="P97" s="10" t="n">
        <v>0</v>
      </c>
      <c r="Q97" s="10" t="n">
        <v>300000</v>
      </c>
      <c r="R97" s="10" t="n">
        <v>0</v>
      </c>
      <c r="S97" s="10" t="n">
        <v>0</v>
      </c>
      <c r="T97" s="7"/>
      <c r="U97" s="7"/>
      <c r="V97" s="7"/>
      <c r="W97" s="7" t="s">
        <v>43</v>
      </c>
      <c r="X97" s="7"/>
      <c r="Y97" s="7" t="s">
        <v>37</v>
      </c>
      <c r="Z97" s="7" t="s">
        <v>409</v>
      </c>
      <c r="AA97" s="7"/>
      <c r="AB97" s="10" t="n">
        <v>629100</v>
      </c>
      <c r="AC97" s="10" t="n">
        <v>1</v>
      </c>
    </row>
    <row r="98" customFormat="false" ht="15.75" hidden="true" customHeight="true" outlineLevel="0" collapsed="false">
      <c r="A98" s="6"/>
      <c r="B98" s="7" t="s">
        <v>347</v>
      </c>
      <c r="C98" s="7" t="s">
        <v>65</v>
      </c>
      <c r="D98" s="7" t="s">
        <v>66</v>
      </c>
      <c r="E98" s="7" t="s">
        <v>410</v>
      </c>
      <c r="F98" s="8" t="s">
        <v>411</v>
      </c>
      <c r="G98" s="9" t="n">
        <f aca="false">DATE(2000+VALUE(MID(F98,7,2)),VALUE(MID(F98,4,2)),VALUE(LEFT(F98,2)))</f>
        <v>45452</v>
      </c>
      <c r="H98" s="8" t="s">
        <v>412</v>
      </c>
      <c r="I98" s="9" t="n">
        <f aca="false">DATE(2000+VALUE(MID(H98,7,2)),VALUE(MID(H98,4,2)),VALUE(LEFT(H98,2)))</f>
        <v>45453</v>
      </c>
      <c r="J98" s="9"/>
      <c r="K98" s="10" t="n">
        <v>495000</v>
      </c>
      <c r="L98" s="10" t="n">
        <v>0</v>
      </c>
      <c r="M98" s="10" t="n">
        <v>495000</v>
      </c>
      <c r="N98" s="10" t="n">
        <v>0</v>
      </c>
      <c r="O98" s="10" t="n">
        <v>0</v>
      </c>
      <c r="P98" s="10" t="n">
        <v>0</v>
      </c>
      <c r="Q98" s="10" t="n">
        <v>495000</v>
      </c>
      <c r="R98" s="10" t="n">
        <v>0</v>
      </c>
      <c r="S98" s="10" t="n">
        <v>0</v>
      </c>
      <c r="T98" s="7"/>
      <c r="U98" s="7"/>
      <c r="V98" s="7"/>
      <c r="W98" s="7" t="s">
        <v>43</v>
      </c>
      <c r="X98" s="7"/>
      <c r="Y98" s="7" t="s">
        <v>37</v>
      </c>
      <c r="Z98" s="7" t="s">
        <v>413</v>
      </c>
      <c r="AA98" s="7"/>
      <c r="AB98" s="10" t="n">
        <v>495000</v>
      </c>
      <c r="AC98" s="10" t="n">
        <v>1</v>
      </c>
    </row>
    <row r="99" customFormat="false" ht="15.75" hidden="true" customHeight="true" outlineLevel="0" collapsed="false">
      <c r="A99" s="6"/>
      <c r="B99" s="7" t="s">
        <v>375</v>
      </c>
      <c r="C99" s="7" t="s">
        <v>71</v>
      </c>
      <c r="D99" s="7" t="s">
        <v>72</v>
      </c>
      <c r="E99" s="12" t="s">
        <v>414</v>
      </c>
      <c r="F99" s="8" t="s">
        <v>415</v>
      </c>
      <c r="G99" s="9" t="n">
        <f aca="false">DATE(2000+VALUE(MID(F99,7,2)),VALUE(MID(F99,4,2)),VALUE(LEFT(F99,2)))</f>
        <v>45453</v>
      </c>
      <c r="H99" s="8" t="s">
        <v>416</v>
      </c>
      <c r="I99" s="9" t="n">
        <f aca="false">DATE(2000+VALUE(MID(H99,7,2)),VALUE(MID(H99,4,2)),VALUE(LEFT(H99,2)))</f>
        <v>45454</v>
      </c>
      <c r="J99" s="9"/>
      <c r="K99" s="10" t="n">
        <v>489485</v>
      </c>
      <c r="L99" s="10" t="n">
        <v>65000</v>
      </c>
      <c r="M99" s="10" t="n">
        <v>554485</v>
      </c>
      <c r="N99" s="10" t="n">
        <v>0</v>
      </c>
      <c r="O99" s="10" t="n">
        <v>65000</v>
      </c>
      <c r="P99" s="10" t="n">
        <v>0</v>
      </c>
      <c r="Q99" s="10" t="n">
        <v>0</v>
      </c>
      <c r="R99" s="10" t="n">
        <v>489485</v>
      </c>
      <c r="S99" s="10" t="n">
        <v>0</v>
      </c>
      <c r="T99" s="7"/>
      <c r="U99" s="7"/>
      <c r="V99" s="7"/>
      <c r="W99" s="7" t="s">
        <v>49</v>
      </c>
      <c r="X99" s="7"/>
      <c r="Y99" s="7" t="s">
        <v>37</v>
      </c>
      <c r="Z99" s="7" t="s">
        <v>417</v>
      </c>
      <c r="AA99" s="7" t="s">
        <v>418</v>
      </c>
      <c r="AB99" s="10" t="n">
        <v>489485</v>
      </c>
      <c r="AC99" s="10" t="n">
        <v>1</v>
      </c>
    </row>
    <row r="100" customFormat="false" ht="15.75" hidden="true" customHeight="true" outlineLevel="0" collapsed="false">
      <c r="A100" s="6"/>
      <c r="B100" s="7" t="s">
        <v>419</v>
      </c>
      <c r="C100" s="7" t="s">
        <v>65</v>
      </c>
      <c r="D100" s="7" t="s">
        <v>87</v>
      </c>
      <c r="E100" s="7" t="s">
        <v>420</v>
      </c>
      <c r="F100" s="8" t="s">
        <v>421</v>
      </c>
      <c r="G100" s="9" t="n">
        <f aca="false">DATE(2000+VALUE(MID(F100,7,2)),VALUE(MID(F100,4,2)),VALUE(LEFT(F100,2)))</f>
        <v>45452</v>
      </c>
      <c r="H100" s="8" t="s">
        <v>416</v>
      </c>
      <c r="I100" s="9" t="n">
        <f aca="false">DATE(2000+VALUE(MID(H100,7,2)),VALUE(MID(H100,4,2)),VALUE(LEFT(H100,2)))</f>
        <v>45454</v>
      </c>
      <c r="J100" s="9"/>
      <c r="K100" s="10" t="n">
        <v>1550001</v>
      </c>
      <c r="L100" s="10" t="n">
        <v>0</v>
      </c>
      <c r="M100" s="10" t="n">
        <v>1550001</v>
      </c>
      <c r="N100" s="10" t="n">
        <v>0</v>
      </c>
      <c r="O100" s="10" t="n">
        <v>0</v>
      </c>
      <c r="P100" s="10" t="n">
        <v>0</v>
      </c>
      <c r="Q100" s="10" t="n">
        <v>1550001</v>
      </c>
      <c r="R100" s="10" t="n">
        <v>0</v>
      </c>
      <c r="S100" s="10" t="n">
        <v>0</v>
      </c>
      <c r="T100" s="7"/>
      <c r="U100" s="7"/>
      <c r="V100" s="7"/>
      <c r="W100" s="7" t="s">
        <v>43</v>
      </c>
      <c r="X100" s="7"/>
      <c r="Y100" s="7" t="s">
        <v>37</v>
      </c>
      <c r="Z100" s="7" t="s">
        <v>401</v>
      </c>
      <c r="AA100" s="7"/>
      <c r="AB100" s="10" t="n">
        <v>775000.5</v>
      </c>
      <c r="AC100" s="10" t="n">
        <v>2</v>
      </c>
    </row>
    <row r="101" customFormat="false" ht="15.75" hidden="true" customHeight="true" outlineLevel="0" collapsed="false">
      <c r="A101" s="6"/>
      <c r="B101" s="7" t="s">
        <v>409</v>
      </c>
      <c r="C101" s="7" t="s">
        <v>31</v>
      </c>
      <c r="D101" s="7" t="s">
        <v>105</v>
      </c>
      <c r="E101" s="7" t="s">
        <v>422</v>
      </c>
      <c r="F101" s="8" t="s">
        <v>350</v>
      </c>
      <c r="G101" s="9" t="n">
        <f aca="false">DATE(2000+VALUE(MID(F101,7,2)),VALUE(MID(F101,4,2)),VALUE(LEFT(F101,2)))</f>
        <v>45449</v>
      </c>
      <c r="H101" s="8" t="s">
        <v>416</v>
      </c>
      <c r="I101" s="9" t="n">
        <f aca="false">DATE(2000+VALUE(MID(H101,7,2)),VALUE(MID(H101,4,2)),VALUE(LEFT(H101,2)))</f>
        <v>45454</v>
      </c>
      <c r="J101" s="9"/>
      <c r="K101" s="10" t="n">
        <v>4225000</v>
      </c>
      <c r="L101" s="10" t="n">
        <v>0</v>
      </c>
      <c r="M101" s="10" t="n">
        <v>4225000</v>
      </c>
      <c r="N101" s="10" t="n">
        <v>0</v>
      </c>
      <c r="O101" s="10" t="n">
        <v>4225000</v>
      </c>
      <c r="P101" s="10" t="n">
        <v>0</v>
      </c>
      <c r="Q101" s="10" t="n">
        <v>0</v>
      </c>
      <c r="R101" s="10" t="n">
        <v>0</v>
      </c>
      <c r="S101" s="10" t="n">
        <v>0</v>
      </c>
      <c r="T101" s="7"/>
      <c r="U101" s="7"/>
      <c r="V101" s="7"/>
      <c r="W101" s="7" t="s">
        <v>43</v>
      </c>
      <c r="X101" s="7"/>
      <c r="Y101" s="7" t="s">
        <v>37</v>
      </c>
      <c r="Z101" s="7" t="s">
        <v>423</v>
      </c>
      <c r="AA101" s="7"/>
      <c r="AB101" s="10" t="n">
        <v>845000</v>
      </c>
      <c r="AC101" s="10" t="n">
        <v>5</v>
      </c>
    </row>
    <row r="102" customFormat="false" ht="15.75" hidden="true" customHeight="true" outlineLevel="0" collapsed="false">
      <c r="A102" s="6"/>
      <c r="B102" s="7" t="s">
        <v>383</v>
      </c>
      <c r="C102" s="7" t="s">
        <v>31</v>
      </c>
      <c r="D102" s="7" t="s">
        <v>32</v>
      </c>
      <c r="E102" s="7" t="s">
        <v>424</v>
      </c>
      <c r="F102" s="8" t="s">
        <v>425</v>
      </c>
      <c r="G102" s="9" t="n">
        <f aca="false">DATE(2000+VALUE(MID(F102,7,2)),VALUE(MID(F102,4,2)),VALUE(LEFT(F102,2)))</f>
        <v>45453</v>
      </c>
      <c r="H102" s="8" t="s">
        <v>426</v>
      </c>
      <c r="I102" s="9" t="n">
        <f aca="false">DATE(2000+VALUE(MID(H102,7,2)),VALUE(MID(H102,4,2)),VALUE(LEFT(H102,2)))</f>
        <v>45454</v>
      </c>
      <c r="J102" s="9"/>
      <c r="K102" s="10" t="n">
        <v>449000</v>
      </c>
      <c r="L102" s="10" t="n">
        <v>0</v>
      </c>
      <c r="M102" s="10" t="n">
        <v>449000</v>
      </c>
      <c r="N102" s="10" t="n">
        <v>0</v>
      </c>
      <c r="O102" s="10" t="n">
        <v>449000</v>
      </c>
      <c r="P102" s="10" t="n">
        <v>0</v>
      </c>
      <c r="Q102" s="10" t="n">
        <v>0</v>
      </c>
      <c r="R102" s="10" t="n">
        <v>0</v>
      </c>
      <c r="S102" s="10" t="n">
        <v>0</v>
      </c>
      <c r="T102" s="7"/>
      <c r="U102" s="7"/>
      <c r="V102" s="7"/>
      <c r="W102" s="7" t="s">
        <v>43</v>
      </c>
      <c r="X102" s="7"/>
      <c r="Y102" s="7" t="s">
        <v>37</v>
      </c>
      <c r="Z102" s="7" t="s">
        <v>427</v>
      </c>
      <c r="AA102" s="7"/>
      <c r="AB102" s="10" t="n">
        <v>449000</v>
      </c>
      <c r="AC102" s="10" t="n">
        <v>1</v>
      </c>
    </row>
    <row r="103" customFormat="false" ht="15.75" hidden="true" customHeight="true" outlineLevel="0" collapsed="false">
      <c r="A103" s="6"/>
      <c r="B103" s="7" t="s">
        <v>301</v>
      </c>
      <c r="C103" s="7" t="s">
        <v>65</v>
      </c>
      <c r="D103" s="7" t="s">
        <v>82</v>
      </c>
      <c r="E103" s="7" t="s">
        <v>428</v>
      </c>
      <c r="F103" s="8" t="s">
        <v>381</v>
      </c>
      <c r="G103" s="9" t="n">
        <f aca="false">DATE(2000+VALUE(MID(F103,7,2)),VALUE(MID(F103,4,2)),VALUE(LEFT(F103,2)))</f>
        <v>45451</v>
      </c>
      <c r="H103" s="8" t="s">
        <v>429</v>
      </c>
      <c r="I103" s="9" t="n">
        <f aca="false">DATE(2000+VALUE(MID(H103,7,2)),VALUE(MID(H103,4,2)),VALUE(LEFT(H103,2)))</f>
        <v>45454</v>
      </c>
      <c r="J103" s="9"/>
      <c r="K103" s="10" t="n">
        <v>1565000</v>
      </c>
      <c r="L103" s="10" t="n">
        <v>199000</v>
      </c>
      <c r="M103" s="10" t="n">
        <v>1764000</v>
      </c>
      <c r="N103" s="10" t="n">
        <v>0</v>
      </c>
      <c r="O103" s="10" t="n">
        <v>1264000</v>
      </c>
      <c r="P103" s="10" t="n">
        <v>0</v>
      </c>
      <c r="Q103" s="10" t="n">
        <v>500000</v>
      </c>
      <c r="R103" s="10" t="n">
        <v>0</v>
      </c>
      <c r="S103" s="10" t="n">
        <v>0</v>
      </c>
      <c r="T103" s="7"/>
      <c r="U103" s="7"/>
      <c r="V103" s="7"/>
      <c r="W103" s="7" t="s">
        <v>43</v>
      </c>
      <c r="X103" s="7"/>
      <c r="Y103" s="7" t="s">
        <v>37</v>
      </c>
      <c r="Z103" s="7" t="s">
        <v>352</v>
      </c>
      <c r="AA103" s="7"/>
      <c r="AB103" s="10" t="n">
        <v>521666.6666</v>
      </c>
      <c r="AC103" s="10" t="n">
        <v>3</v>
      </c>
    </row>
    <row r="104" customFormat="false" ht="15.75" hidden="true" customHeight="true" outlineLevel="0" collapsed="false">
      <c r="A104" s="6"/>
      <c r="B104" s="7" t="s">
        <v>373</v>
      </c>
      <c r="C104" s="7" t="s">
        <v>31</v>
      </c>
      <c r="D104" s="7" t="s">
        <v>32</v>
      </c>
      <c r="E104" s="7" t="s">
        <v>430</v>
      </c>
      <c r="F104" s="8" t="s">
        <v>431</v>
      </c>
      <c r="G104" s="9" t="n">
        <f aca="false">DATE(2000+VALUE(MID(F104,7,2)),VALUE(MID(F104,4,2)),VALUE(LEFT(F104,2)))</f>
        <v>45454</v>
      </c>
      <c r="H104" s="8" t="s">
        <v>432</v>
      </c>
      <c r="I104" s="9" t="n">
        <f aca="false">DATE(2000+VALUE(MID(H104,7,2)),VALUE(MID(H104,4,2)),VALUE(LEFT(H104,2)))</f>
        <v>45454</v>
      </c>
      <c r="J104" s="9"/>
      <c r="K104" s="10" t="n">
        <v>585000</v>
      </c>
      <c r="L104" s="10" t="n">
        <v>0</v>
      </c>
      <c r="M104" s="10" t="n">
        <v>585000</v>
      </c>
      <c r="N104" s="10" t="n">
        <v>0</v>
      </c>
      <c r="O104" s="10" t="n">
        <v>295000</v>
      </c>
      <c r="P104" s="10" t="n">
        <v>0</v>
      </c>
      <c r="Q104" s="10" t="n">
        <v>290000</v>
      </c>
      <c r="R104" s="10" t="n">
        <v>0</v>
      </c>
      <c r="S104" s="10" t="n">
        <v>0</v>
      </c>
      <c r="T104" s="7"/>
      <c r="U104" s="7"/>
      <c r="V104" s="7"/>
      <c r="W104" s="7" t="s">
        <v>43</v>
      </c>
      <c r="X104" s="7"/>
      <c r="Y104" s="7" t="s">
        <v>37</v>
      </c>
      <c r="Z104" s="7" t="s">
        <v>433</v>
      </c>
      <c r="AA104" s="7"/>
      <c r="AB104" s="10" t="n">
        <v>585000</v>
      </c>
      <c r="AC104" s="10" t="n">
        <v>1</v>
      </c>
    </row>
    <row r="105" customFormat="false" ht="15.75" hidden="true" customHeight="true" outlineLevel="0" collapsed="false">
      <c r="A105" s="6"/>
      <c r="B105" s="7" t="s">
        <v>423</v>
      </c>
      <c r="C105" s="7" t="s">
        <v>65</v>
      </c>
      <c r="D105" s="7" t="s">
        <v>96</v>
      </c>
      <c r="E105" s="7" t="s">
        <v>329</v>
      </c>
      <c r="F105" s="8" t="s">
        <v>434</v>
      </c>
      <c r="G105" s="9" t="n">
        <f aca="false">DATE(2000+VALUE(MID(F105,7,2)),VALUE(MID(F105,4,2)),VALUE(LEFT(F105,2)))</f>
        <v>45453</v>
      </c>
      <c r="H105" s="8" t="s">
        <v>435</v>
      </c>
      <c r="I105" s="9" t="n">
        <f aca="false">DATE(2000+VALUE(MID(H105,7,2)),VALUE(MID(H105,4,2)),VALUE(LEFT(H105,2)))</f>
        <v>45455</v>
      </c>
      <c r="J105" s="9"/>
      <c r="K105" s="10" t="n">
        <v>988000</v>
      </c>
      <c r="L105" s="10" t="n">
        <v>0</v>
      </c>
      <c r="M105" s="10" t="n">
        <v>988000</v>
      </c>
      <c r="N105" s="10" t="n">
        <v>0</v>
      </c>
      <c r="O105" s="10" t="n">
        <v>0</v>
      </c>
      <c r="P105" s="10" t="n">
        <v>0</v>
      </c>
      <c r="Q105" s="10" t="n">
        <v>988000</v>
      </c>
      <c r="R105" s="10" t="n">
        <v>0</v>
      </c>
      <c r="S105" s="10" t="n">
        <v>0</v>
      </c>
      <c r="T105" s="7"/>
      <c r="U105" s="7"/>
      <c r="V105" s="7"/>
      <c r="W105" s="7" t="s">
        <v>43</v>
      </c>
      <c r="X105" s="7"/>
      <c r="Y105" s="7" t="s">
        <v>37</v>
      </c>
      <c r="Z105" s="7" t="s">
        <v>436</v>
      </c>
      <c r="AA105" s="7"/>
      <c r="AB105" s="10" t="n">
        <v>494000</v>
      </c>
      <c r="AC105" s="10" t="n">
        <v>2</v>
      </c>
    </row>
    <row r="106" customFormat="false" ht="15.75" hidden="true" customHeight="true" outlineLevel="0" collapsed="false">
      <c r="A106" s="6"/>
      <c r="B106" s="7" t="s">
        <v>423</v>
      </c>
      <c r="C106" s="7" t="s">
        <v>65</v>
      </c>
      <c r="D106" s="7" t="s">
        <v>76</v>
      </c>
      <c r="E106" s="7" t="s">
        <v>329</v>
      </c>
      <c r="F106" s="8" t="s">
        <v>434</v>
      </c>
      <c r="G106" s="9" t="n">
        <f aca="false">DATE(2000+VALUE(MID(F106,7,2)),VALUE(MID(F106,4,2)),VALUE(LEFT(F106,2)))</f>
        <v>45453</v>
      </c>
      <c r="H106" s="8" t="s">
        <v>435</v>
      </c>
      <c r="I106" s="9" t="n">
        <f aca="false">DATE(2000+VALUE(MID(H106,7,2)),VALUE(MID(H106,4,2)),VALUE(LEFT(H106,2)))</f>
        <v>45455</v>
      </c>
      <c r="J106" s="9"/>
      <c r="K106" s="10" t="n">
        <v>988000</v>
      </c>
      <c r="L106" s="10" t="n">
        <v>0</v>
      </c>
      <c r="M106" s="10" t="n">
        <v>988000</v>
      </c>
      <c r="N106" s="10" t="n">
        <v>0</v>
      </c>
      <c r="O106" s="10" t="n">
        <v>500000</v>
      </c>
      <c r="P106" s="10" t="n">
        <v>0</v>
      </c>
      <c r="Q106" s="10" t="n">
        <v>488000</v>
      </c>
      <c r="R106" s="10" t="n">
        <v>0</v>
      </c>
      <c r="S106" s="10" t="n">
        <v>0</v>
      </c>
      <c r="T106" s="7"/>
      <c r="U106" s="7"/>
      <c r="V106" s="7"/>
      <c r="W106" s="7" t="s">
        <v>43</v>
      </c>
      <c r="X106" s="7"/>
      <c r="Y106" s="7" t="s">
        <v>37</v>
      </c>
      <c r="Z106" s="7" t="s">
        <v>384</v>
      </c>
      <c r="AA106" s="7"/>
      <c r="AB106" s="10" t="n">
        <v>494000</v>
      </c>
      <c r="AC106" s="10" t="n">
        <v>2</v>
      </c>
    </row>
    <row r="107" customFormat="false" ht="15.75" hidden="true" customHeight="true" outlineLevel="0" collapsed="false">
      <c r="A107" s="6"/>
      <c r="B107" s="7" t="s">
        <v>379</v>
      </c>
      <c r="C107" s="7" t="s">
        <v>31</v>
      </c>
      <c r="D107" s="7" t="s">
        <v>361</v>
      </c>
      <c r="E107" s="7" t="s">
        <v>437</v>
      </c>
      <c r="F107" s="8" t="s">
        <v>438</v>
      </c>
      <c r="G107" s="9" t="n">
        <f aca="false">DATE(2000+VALUE(MID(F107,7,2)),VALUE(MID(F107,4,2)),VALUE(LEFT(F107,2)))</f>
        <v>45452</v>
      </c>
      <c r="H107" s="8" t="s">
        <v>435</v>
      </c>
      <c r="I107" s="9" t="n">
        <f aca="false">DATE(2000+VALUE(MID(H107,7,2)),VALUE(MID(H107,4,2)),VALUE(LEFT(H107,2)))</f>
        <v>45455</v>
      </c>
      <c r="J107" s="9"/>
      <c r="K107" s="10" t="n">
        <v>2418000</v>
      </c>
      <c r="L107" s="10" t="n">
        <v>316000</v>
      </c>
      <c r="M107" s="10" t="n">
        <v>2734000</v>
      </c>
      <c r="N107" s="10" t="n">
        <v>0</v>
      </c>
      <c r="O107" s="10" t="n">
        <v>966000</v>
      </c>
      <c r="P107" s="10" t="n">
        <v>0</v>
      </c>
      <c r="Q107" s="10" t="n">
        <v>1768000</v>
      </c>
      <c r="R107" s="10" t="n">
        <v>0</v>
      </c>
      <c r="S107" s="10" t="n">
        <v>0</v>
      </c>
      <c r="T107" s="7"/>
      <c r="U107" s="7"/>
      <c r="V107" s="7"/>
      <c r="W107" s="7" t="s">
        <v>43</v>
      </c>
      <c r="X107" s="7"/>
      <c r="Y107" s="7" t="s">
        <v>37</v>
      </c>
      <c r="Z107" s="7" t="s">
        <v>439</v>
      </c>
      <c r="AA107" s="7"/>
      <c r="AB107" s="10" t="n">
        <v>806000</v>
      </c>
      <c r="AC107" s="10" t="n">
        <v>3</v>
      </c>
    </row>
    <row r="108" customFormat="false" ht="15.75" hidden="true" customHeight="true" outlineLevel="0" collapsed="false">
      <c r="A108" s="6"/>
      <c r="B108" s="7" t="s">
        <v>379</v>
      </c>
      <c r="C108" s="7" t="s">
        <v>31</v>
      </c>
      <c r="D108" s="7" t="s">
        <v>440</v>
      </c>
      <c r="E108" s="7" t="s">
        <v>202</v>
      </c>
      <c r="F108" s="8" t="s">
        <v>438</v>
      </c>
      <c r="G108" s="9" t="n">
        <f aca="false">DATE(2000+VALUE(MID(F108,7,2)),VALUE(MID(F108,4,2)),VALUE(LEFT(F108,2)))</f>
        <v>45452</v>
      </c>
      <c r="H108" s="8" t="s">
        <v>435</v>
      </c>
      <c r="I108" s="9" t="n">
        <f aca="false">DATE(2000+VALUE(MID(H108,7,2)),VALUE(MID(H108,4,2)),VALUE(LEFT(H108,2)))</f>
        <v>45455</v>
      </c>
      <c r="J108" s="9"/>
      <c r="K108" s="10" t="n">
        <v>2418000</v>
      </c>
      <c r="L108" s="10" t="n">
        <v>0</v>
      </c>
      <c r="M108" s="10" t="n">
        <v>2418000</v>
      </c>
      <c r="N108" s="10" t="n">
        <v>0</v>
      </c>
      <c r="O108" s="10" t="n">
        <v>800000</v>
      </c>
      <c r="P108" s="10" t="n">
        <v>0</v>
      </c>
      <c r="Q108" s="10" t="n">
        <v>1618000</v>
      </c>
      <c r="R108" s="10" t="n">
        <v>0</v>
      </c>
      <c r="S108" s="10" t="n">
        <v>0</v>
      </c>
      <c r="T108" s="7"/>
      <c r="U108" s="7"/>
      <c r="V108" s="7"/>
      <c r="W108" s="7" t="s">
        <v>43</v>
      </c>
      <c r="X108" s="7"/>
      <c r="Y108" s="7" t="s">
        <v>37</v>
      </c>
      <c r="Z108" s="7" t="s">
        <v>441</v>
      </c>
      <c r="AA108" s="7"/>
      <c r="AB108" s="10" t="n">
        <v>806000</v>
      </c>
      <c r="AC108" s="10" t="n">
        <v>3</v>
      </c>
    </row>
    <row r="109" customFormat="false" ht="15.75" hidden="true" customHeight="true" outlineLevel="0" collapsed="false">
      <c r="A109" s="6"/>
      <c r="B109" s="7" t="s">
        <v>379</v>
      </c>
      <c r="C109" s="7" t="s">
        <v>31</v>
      </c>
      <c r="D109" s="7" t="s">
        <v>39</v>
      </c>
      <c r="E109" s="7" t="s">
        <v>202</v>
      </c>
      <c r="F109" s="8" t="s">
        <v>438</v>
      </c>
      <c r="G109" s="9" t="n">
        <f aca="false">DATE(2000+VALUE(MID(F109,7,2)),VALUE(MID(F109,4,2)),VALUE(LEFT(F109,2)))</f>
        <v>45452</v>
      </c>
      <c r="H109" s="8" t="s">
        <v>435</v>
      </c>
      <c r="I109" s="9" t="n">
        <f aca="false">DATE(2000+VALUE(MID(H109,7,2)),VALUE(MID(H109,4,2)),VALUE(LEFT(H109,2)))</f>
        <v>45455</v>
      </c>
      <c r="J109" s="9"/>
      <c r="K109" s="10" t="n">
        <v>2418000</v>
      </c>
      <c r="L109" s="10" t="n">
        <v>0</v>
      </c>
      <c r="M109" s="10" t="n">
        <v>2418000</v>
      </c>
      <c r="N109" s="10" t="n">
        <v>0</v>
      </c>
      <c r="O109" s="10" t="n">
        <v>800000</v>
      </c>
      <c r="P109" s="10" t="n">
        <v>0</v>
      </c>
      <c r="Q109" s="10" t="n">
        <v>1618000</v>
      </c>
      <c r="R109" s="10" t="n">
        <v>0</v>
      </c>
      <c r="S109" s="10" t="n">
        <v>0</v>
      </c>
      <c r="T109" s="7"/>
      <c r="U109" s="7"/>
      <c r="V109" s="7"/>
      <c r="W109" s="7" t="s">
        <v>43</v>
      </c>
      <c r="X109" s="7"/>
      <c r="Y109" s="7" t="s">
        <v>37</v>
      </c>
      <c r="Z109" s="7" t="s">
        <v>442</v>
      </c>
      <c r="AA109" s="7"/>
      <c r="AB109" s="10" t="n">
        <v>806000</v>
      </c>
      <c r="AC109" s="10" t="n">
        <v>3</v>
      </c>
    </row>
    <row r="110" customFormat="false" ht="15.75" hidden="true" customHeight="true" outlineLevel="0" collapsed="false">
      <c r="A110" s="6"/>
      <c r="B110" s="7" t="s">
        <v>388</v>
      </c>
      <c r="C110" s="7" t="s">
        <v>60</v>
      </c>
      <c r="D110" s="7" t="s">
        <v>61</v>
      </c>
      <c r="E110" s="7" t="s">
        <v>298</v>
      </c>
      <c r="F110" s="8" t="s">
        <v>443</v>
      </c>
      <c r="G110" s="9" t="n">
        <f aca="false">DATE(2000+VALUE(MID(F110,7,2)),VALUE(MID(F110,4,2)),VALUE(LEFT(F110,2)))</f>
        <v>45454</v>
      </c>
      <c r="H110" s="8" t="s">
        <v>435</v>
      </c>
      <c r="I110" s="9" t="n">
        <f aca="false">DATE(2000+VALUE(MID(H110,7,2)),VALUE(MID(H110,4,2)),VALUE(LEFT(H110,2)))</f>
        <v>45455</v>
      </c>
      <c r="J110" s="9"/>
      <c r="K110" s="10" t="n">
        <v>585000</v>
      </c>
      <c r="L110" s="10" t="n">
        <v>0</v>
      </c>
      <c r="M110" s="10" t="n">
        <v>585000</v>
      </c>
      <c r="N110" s="10" t="n">
        <v>0</v>
      </c>
      <c r="O110" s="10" t="n">
        <v>0</v>
      </c>
      <c r="P110" s="10" t="n">
        <v>0</v>
      </c>
      <c r="Q110" s="10" t="n">
        <v>585000</v>
      </c>
      <c r="R110" s="10" t="n">
        <v>0</v>
      </c>
      <c r="S110" s="10" t="n">
        <v>0</v>
      </c>
      <c r="T110" s="7"/>
      <c r="U110" s="7"/>
      <c r="V110" s="7"/>
      <c r="W110" s="7" t="s">
        <v>43</v>
      </c>
      <c r="X110" s="7"/>
      <c r="Y110" s="7" t="s">
        <v>37</v>
      </c>
      <c r="Z110" s="7" t="s">
        <v>444</v>
      </c>
      <c r="AA110" s="7"/>
      <c r="AB110" s="10" t="n">
        <v>585000</v>
      </c>
      <c r="AC110" s="10" t="n">
        <v>1</v>
      </c>
    </row>
    <row r="111" customFormat="false" ht="15.75" hidden="true" customHeight="true" outlineLevel="0" collapsed="false">
      <c r="A111" s="6"/>
      <c r="B111" s="7" t="s">
        <v>388</v>
      </c>
      <c r="C111" s="7" t="s">
        <v>60</v>
      </c>
      <c r="D111" s="7" t="s">
        <v>116</v>
      </c>
      <c r="E111" s="7" t="s">
        <v>202</v>
      </c>
      <c r="F111" s="8" t="s">
        <v>443</v>
      </c>
      <c r="G111" s="9" t="n">
        <f aca="false">DATE(2000+VALUE(MID(F111,7,2)),VALUE(MID(F111,4,2)),VALUE(LEFT(F111,2)))</f>
        <v>45454</v>
      </c>
      <c r="H111" s="8" t="s">
        <v>435</v>
      </c>
      <c r="I111" s="9" t="n">
        <f aca="false">DATE(2000+VALUE(MID(H111,7,2)),VALUE(MID(H111,4,2)),VALUE(LEFT(H111,2)))</f>
        <v>45455</v>
      </c>
      <c r="J111" s="9"/>
      <c r="K111" s="10" t="n">
        <v>585000</v>
      </c>
      <c r="L111" s="10" t="n">
        <v>0</v>
      </c>
      <c r="M111" s="10" t="n">
        <v>585000</v>
      </c>
      <c r="N111" s="10" t="n">
        <v>0</v>
      </c>
      <c r="O111" s="10" t="n">
        <v>585000</v>
      </c>
      <c r="P111" s="10" t="n">
        <v>0</v>
      </c>
      <c r="Q111" s="10" t="n">
        <v>0</v>
      </c>
      <c r="R111" s="10" t="n">
        <v>0</v>
      </c>
      <c r="S111" s="10" t="n">
        <v>0</v>
      </c>
      <c r="T111" s="7"/>
      <c r="U111" s="7"/>
      <c r="V111" s="7"/>
      <c r="W111" s="7" t="s">
        <v>43</v>
      </c>
      <c r="X111" s="7"/>
      <c r="Y111" s="7" t="s">
        <v>37</v>
      </c>
      <c r="Z111" s="7" t="s">
        <v>445</v>
      </c>
      <c r="AA111" s="7"/>
      <c r="AB111" s="10" t="n">
        <v>585000</v>
      </c>
      <c r="AC111" s="10" t="n">
        <v>1</v>
      </c>
    </row>
    <row r="112" customFormat="false" ht="15.75" hidden="true" customHeight="true" outlineLevel="0" collapsed="false">
      <c r="A112" s="6"/>
      <c r="B112" s="7" t="s">
        <v>388</v>
      </c>
      <c r="C112" s="7" t="s">
        <v>71</v>
      </c>
      <c r="D112" s="7" t="s">
        <v>72</v>
      </c>
      <c r="E112" s="7" t="s">
        <v>202</v>
      </c>
      <c r="F112" s="8" t="s">
        <v>443</v>
      </c>
      <c r="G112" s="9" t="n">
        <f aca="false">DATE(2000+VALUE(MID(F112,7,2)),VALUE(MID(F112,4,2)),VALUE(LEFT(F112,2)))</f>
        <v>45454</v>
      </c>
      <c r="H112" s="8" t="s">
        <v>435</v>
      </c>
      <c r="I112" s="9" t="n">
        <f aca="false">DATE(2000+VALUE(MID(H112,7,2)),VALUE(MID(H112,4,2)),VALUE(LEFT(H112,2)))</f>
        <v>45455</v>
      </c>
      <c r="J112" s="9"/>
      <c r="K112" s="10" t="n">
        <v>585000</v>
      </c>
      <c r="L112" s="10" t="n">
        <v>0</v>
      </c>
      <c r="M112" s="10" t="n">
        <v>585000</v>
      </c>
      <c r="N112" s="10" t="n">
        <v>0</v>
      </c>
      <c r="O112" s="10" t="n">
        <v>585000</v>
      </c>
      <c r="P112" s="10" t="n">
        <v>0</v>
      </c>
      <c r="Q112" s="10" t="n">
        <v>0</v>
      </c>
      <c r="R112" s="10" t="n">
        <v>0</v>
      </c>
      <c r="S112" s="10" t="n">
        <v>0</v>
      </c>
      <c r="T112" s="7"/>
      <c r="U112" s="7"/>
      <c r="V112" s="7"/>
      <c r="W112" s="7" t="s">
        <v>43</v>
      </c>
      <c r="X112" s="7"/>
      <c r="Y112" s="7" t="s">
        <v>37</v>
      </c>
      <c r="Z112" s="7" t="s">
        <v>446</v>
      </c>
      <c r="AA112" s="7"/>
      <c r="AB112" s="10" t="n">
        <v>585000</v>
      </c>
      <c r="AC112" s="10" t="n">
        <v>1</v>
      </c>
    </row>
    <row r="113" customFormat="false" ht="15.75" hidden="true" customHeight="true" outlineLevel="0" collapsed="false">
      <c r="A113" s="6"/>
      <c r="B113" s="7" t="s">
        <v>405</v>
      </c>
      <c r="C113" s="7" t="s">
        <v>71</v>
      </c>
      <c r="D113" s="7" t="s">
        <v>92</v>
      </c>
      <c r="E113" s="7" t="s">
        <v>447</v>
      </c>
      <c r="F113" s="8" t="s">
        <v>415</v>
      </c>
      <c r="G113" s="9" t="n">
        <f aca="false">DATE(2000+VALUE(MID(F113,7,2)),VALUE(MID(F113,4,2)),VALUE(LEFT(F113,2)))</f>
        <v>45453</v>
      </c>
      <c r="H113" s="8" t="s">
        <v>448</v>
      </c>
      <c r="I113" s="9" t="n">
        <f aca="false">DATE(2000+VALUE(MID(H113,7,2)),VALUE(MID(H113,4,2)),VALUE(LEFT(H113,2)))</f>
        <v>45455</v>
      </c>
      <c r="J113" s="9"/>
      <c r="K113" s="10" t="n">
        <v>1098000</v>
      </c>
      <c r="L113" s="10" t="n">
        <v>0</v>
      </c>
      <c r="M113" s="10" t="n">
        <v>988200</v>
      </c>
      <c r="N113" s="10" t="n">
        <v>0</v>
      </c>
      <c r="O113" s="10" t="n">
        <v>988200</v>
      </c>
      <c r="P113" s="10" t="n">
        <v>0</v>
      </c>
      <c r="Q113" s="10" t="n">
        <v>0</v>
      </c>
      <c r="R113" s="10" t="n">
        <v>0</v>
      </c>
      <c r="S113" s="10" t="n">
        <v>0</v>
      </c>
      <c r="T113" s="7"/>
      <c r="U113" s="7"/>
      <c r="V113" s="7"/>
      <c r="W113" s="7" t="s">
        <v>49</v>
      </c>
      <c r="X113" s="7"/>
      <c r="Y113" s="7" t="s">
        <v>37</v>
      </c>
      <c r="Z113" s="7" t="s">
        <v>449</v>
      </c>
      <c r="AA113" s="7" t="s">
        <v>450</v>
      </c>
      <c r="AB113" s="10" t="n">
        <v>549000</v>
      </c>
      <c r="AC113" s="10" t="n">
        <v>2</v>
      </c>
    </row>
    <row r="114" customFormat="false" ht="15.75" hidden="true" customHeight="true" outlineLevel="0" collapsed="false">
      <c r="A114" s="6"/>
      <c r="B114" s="7" t="s">
        <v>451</v>
      </c>
      <c r="C114" s="7" t="s">
        <v>65</v>
      </c>
      <c r="D114" s="7" t="s">
        <v>82</v>
      </c>
      <c r="E114" s="7" t="s">
        <v>452</v>
      </c>
      <c r="F114" s="8" t="s">
        <v>453</v>
      </c>
      <c r="G114" s="9" t="n">
        <f aca="false">DATE(2000+VALUE(MID(F114,7,2)),VALUE(MID(F114,4,2)),VALUE(LEFT(F114,2)))</f>
        <v>45455</v>
      </c>
      <c r="H114" s="8" t="s">
        <v>454</v>
      </c>
      <c r="I114" s="9" t="n">
        <f aca="false">DATE(2000+VALUE(MID(H114,7,2)),VALUE(MID(H114,4,2)),VALUE(LEFT(H114,2)))</f>
        <v>45455</v>
      </c>
      <c r="J114" s="9"/>
      <c r="K114" s="10" t="n">
        <v>450000</v>
      </c>
      <c r="L114" s="10" t="n">
        <v>0</v>
      </c>
      <c r="M114" s="10" t="n">
        <v>450000</v>
      </c>
      <c r="N114" s="10" t="n">
        <v>0</v>
      </c>
      <c r="O114" s="10" t="n">
        <v>0</v>
      </c>
      <c r="P114" s="10" t="n">
        <v>0</v>
      </c>
      <c r="Q114" s="10" t="n">
        <v>450000</v>
      </c>
      <c r="R114" s="10" t="n">
        <v>0</v>
      </c>
      <c r="S114" s="10" t="n">
        <v>0</v>
      </c>
      <c r="T114" s="7"/>
      <c r="U114" s="7"/>
      <c r="V114" s="7"/>
      <c r="W114" s="7" t="s">
        <v>43</v>
      </c>
      <c r="X114" s="7"/>
      <c r="Y114" s="7" t="s">
        <v>37</v>
      </c>
      <c r="Z114" s="7" t="s">
        <v>455</v>
      </c>
      <c r="AA114" s="7"/>
      <c r="AB114" s="10" t="n">
        <v>450000</v>
      </c>
      <c r="AC114" s="10" t="n">
        <v>1</v>
      </c>
    </row>
    <row r="115" customFormat="false" ht="15.75" hidden="true" customHeight="true" outlineLevel="0" collapsed="false">
      <c r="A115" s="6"/>
      <c r="B115" s="7" t="s">
        <v>456</v>
      </c>
      <c r="C115" s="7" t="s">
        <v>31</v>
      </c>
      <c r="D115" s="7" t="s">
        <v>32</v>
      </c>
      <c r="E115" s="7" t="s">
        <v>457</v>
      </c>
      <c r="F115" s="8" t="s">
        <v>458</v>
      </c>
      <c r="G115" s="9" t="n">
        <f aca="false">DATE(2000+VALUE(MID(F115,7,2)),VALUE(MID(F115,4,2)),VALUE(LEFT(F115,2)))</f>
        <v>45455</v>
      </c>
      <c r="H115" s="8" t="s">
        <v>459</v>
      </c>
      <c r="I115" s="9" t="n">
        <f aca="false">DATE(2000+VALUE(MID(H115,7,2)),VALUE(MID(H115,4,2)),VALUE(LEFT(H115,2)))</f>
        <v>45456</v>
      </c>
      <c r="J115" s="9"/>
      <c r="K115" s="10" t="n">
        <v>802045</v>
      </c>
      <c r="L115" s="10" t="n">
        <v>0</v>
      </c>
      <c r="M115" s="10" t="n">
        <v>802045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802045</v>
      </c>
      <c r="S115" s="10" t="n">
        <v>0</v>
      </c>
      <c r="T115" s="7"/>
      <c r="U115" s="7"/>
      <c r="V115" s="7"/>
      <c r="W115" s="7" t="s">
        <v>49</v>
      </c>
      <c r="X115" s="7"/>
      <c r="Y115" s="7" t="s">
        <v>37</v>
      </c>
      <c r="Z115" s="7" t="s">
        <v>419</v>
      </c>
      <c r="AA115" s="7" t="s">
        <v>460</v>
      </c>
      <c r="AB115" s="10" t="n">
        <v>802045</v>
      </c>
      <c r="AC115" s="10" t="n">
        <v>1</v>
      </c>
    </row>
    <row r="116" customFormat="false" ht="15.75" hidden="true" customHeight="true" outlineLevel="0" collapsed="false">
      <c r="A116" s="6"/>
      <c r="B116" s="7" t="s">
        <v>442</v>
      </c>
      <c r="C116" s="7" t="s">
        <v>71</v>
      </c>
      <c r="D116" s="7" t="s">
        <v>92</v>
      </c>
      <c r="E116" s="7" t="s">
        <v>461</v>
      </c>
      <c r="F116" s="8" t="s">
        <v>458</v>
      </c>
      <c r="G116" s="9" t="n">
        <f aca="false">DATE(2000+VALUE(MID(F116,7,2)),VALUE(MID(F116,4,2)),VALUE(LEFT(F116,2)))</f>
        <v>45455</v>
      </c>
      <c r="H116" s="8" t="s">
        <v>462</v>
      </c>
      <c r="I116" s="9" t="n">
        <f aca="false">DATE(2000+VALUE(MID(H116,7,2)),VALUE(MID(H116,4,2)),VALUE(LEFT(H116,2)))</f>
        <v>45456</v>
      </c>
      <c r="J116" s="9"/>
      <c r="K116" s="10" t="n">
        <v>444960</v>
      </c>
      <c r="L116" s="10" t="n">
        <v>0</v>
      </c>
      <c r="M116" s="10" t="n">
        <v>444960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444960</v>
      </c>
      <c r="S116" s="10" t="n">
        <v>0</v>
      </c>
      <c r="T116" s="7"/>
      <c r="U116" s="7"/>
      <c r="V116" s="7"/>
      <c r="W116" s="7" t="s">
        <v>49</v>
      </c>
      <c r="X116" s="7"/>
      <c r="Y116" s="7" t="s">
        <v>37</v>
      </c>
      <c r="Z116" s="7" t="s">
        <v>463</v>
      </c>
      <c r="AA116" s="7" t="s">
        <v>464</v>
      </c>
      <c r="AB116" s="10" t="n">
        <v>444960</v>
      </c>
      <c r="AC116" s="10" t="n">
        <v>1</v>
      </c>
    </row>
    <row r="117" customFormat="false" ht="15.75" hidden="true" customHeight="true" outlineLevel="0" collapsed="false">
      <c r="A117" s="6"/>
      <c r="B117" s="7" t="s">
        <v>400</v>
      </c>
      <c r="C117" s="7" t="s">
        <v>60</v>
      </c>
      <c r="D117" s="7" t="s">
        <v>116</v>
      </c>
      <c r="E117" s="7" t="s">
        <v>465</v>
      </c>
      <c r="F117" s="8" t="s">
        <v>466</v>
      </c>
      <c r="G117" s="9" t="n">
        <f aca="false">DATE(2000+VALUE(MID(F117,7,2)),VALUE(MID(F117,4,2)),VALUE(LEFT(F117,2)))</f>
        <v>45455</v>
      </c>
      <c r="H117" s="8" t="s">
        <v>462</v>
      </c>
      <c r="I117" s="9" t="n">
        <f aca="false">DATE(2000+VALUE(MID(H117,7,2)),VALUE(MID(H117,4,2)),VALUE(LEFT(H117,2)))</f>
        <v>45456</v>
      </c>
      <c r="J117" s="9"/>
      <c r="K117" s="10" t="n">
        <v>495000</v>
      </c>
      <c r="L117" s="10" t="n">
        <v>0</v>
      </c>
      <c r="M117" s="10" t="n">
        <v>495000</v>
      </c>
      <c r="N117" s="10" t="n">
        <v>0</v>
      </c>
      <c r="O117" s="10" t="n">
        <v>495000</v>
      </c>
      <c r="P117" s="10" t="n">
        <v>0</v>
      </c>
      <c r="Q117" s="10" t="n">
        <v>0</v>
      </c>
      <c r="R117" s="10" t="n">
        <v>0</v>
      </c>
      <c r="S117" s="10" t="n">
        <v>0</v>
      </c>
      <c r="T117" s="7"/>
      <c r="U117" s="7"/>
      <c r="V117" s="7"/>
      <c r="W117" s="7" t="s">
        <v>43</v>
      </c>
      <c r="X117" s="7"/>
      <c r="Y117" s="7" t="s">
        <v>37</v>
      </c>
      <c r="Z117" s="7" t="s">
        <v>467</v>
      </c>
      <c r="AA117" s="7"/>
      <c r="AB117" s="10" t="n">
        <v>495000</v>
      </c>
      <c r="AC117" s="10" t="n">
        <v>1</v>
      </c>
    </row>
    <row r="118" customFormat="false" ht="15.75" hidden="true" customHeight="true" outlineLevel="0" collapsed="false">
      <c r="A118" s="6"/>
      <c r="B118" s="7" t="s">
        <v>439</v>
      </c>
      <c r="C118" s="7" t="s">
        <v>65</v>
      </c>
      <c r="D118" s="7" t="s">
        <v>66</v>
      </c>
      <c r="E118" s="7" t="s">
        <v>468</v>
      </c>
      <c r="F118" s="8" t="s">
        <v>469</v>
      </c>
      <c r="G118" s="9" t="n">
        <f aca="false">DATE(2000+VALUE(MID(F118,7,2)),VALUE(MID(F118,4,2)),VALUE(LEFT(F118,2)))</f>
        <v>45455</v>
      </c>
      <c r="H118" s="8" t="s">
        <v>470</v>
      </c>
      <c r="I118" s="9" t="n">
        <f aca="false">DATE(2000+VALUE(MID(H118,7,2)),VALUE(MID(H118,4,2)),VALUE(LEFT(H118,2)))</f>
        <v>45456</v>
      </c>
      <c r="J118" s="9"/>
      <c r="K118" s="10" t="n">
        <v>570000</v>
      </c>
      <c r="L118" s="10" t="n">
        <v>200000</v>
      </c>
      <c r="M118" s="10" t="n">
        <v>770000</v>
      </c>
      <c r="N118" s="10" t="n">
        <v>0</v>
      </c>
      <c r="O118" s="10" t="n">
        <v>0</v>
      </c>
      <c r="P118" s="10" t="n">
        <v>0</v>
      </c>
      <c r="Q118" s="10" t="n">
        <v>770000</v>
      </c>
      <c r="R118" s="10" t="n">
        <v>0</v>
      </c>
      <c r="S118" s="10" t="n">
        <v>0</v>
      </c>
      <c r="T118" s="7"/>
      <c r="U118" s="7"/>
      <c r="V118" s="7"/>
      <c r="W118" s="7" t="s">
        <v>43</v>
      </c>
      <c r="X118" s="7"/>
      <c r="Y118" s="7" t="s">
        <v>37</v>
      </c>
      <c r="Z118" s="7" t="s">
        <v>471</v>
      </c>
      <c r="AA118" s="7"/>
      <c r="AB118" s="10" t="n">
        <v>570000</v>
      </c>
      <c r="AC118" s="10" t="n">
        <v>1</v>
      </c>
    </row>
    <row r="119" customFormat="false" ht="15.75" hidden="true" customHeight="true" outlineLevel="0" collapsed="false">
      <c r="A119" s="6"/>
      <c r="B119" s="7" t="s">
        <v>427</v>
      </c>
      <c r="C119" s="7" t="s">
        <v>60</v>
      </c>
      <c r="D119" s="7" t="s">
        <v>173</v>
      </c>
      <c r="E119" s="7" t="s">
        <v>472</v>
      </c>
      <c r="F119" s="8" t="s">
        <v>473</v>
      </c>
      <c r="G119" s="9" t="n">
        <f aca="false">DATE(2000+VALUE(MID(F119,7,2)),VALUE(MID(F119,4,2)),VALUE(LEFT(F119,2)))</f>
        <v>45456</v>
      </c>
      <c r="H119" s="8" t="s">
        <v>474</v>
      </c>
      <c r="I119" s="9" t="n">
        <f aca="false">DATE(2000+VALUE(MID(H119,7,2)),VALUE(MID(H119,4,2)),VALUE(LEFT(H119,2)))</f>
        <v>45456</v>
      </c>
      <c r="J119" s="9"/>
      <c r="K119" s="10" t="n">
        <v>400000</v>
      </c>
      <c r="L119" s="10" t="n">
        <v>0</v>
      </c>
      <c r="M119" s="10" t="n">
        <v>400000</v>
      </c>
      <c r="N119" s="10" t="n">
        <v>0</v>
      </c>
      <c r="O119" s="10" t="n">
        <v>400000</v>
      </c>
      <c r="P119" s="10" t="n">
        <v>0</v>
      </c>
      <c r="Q119" s="10" t="n">
        <v>0</v>
      </c>
      <c r="R119" s="10" t="n">
        <v>0</v>
      </c>
      <c r="S119" s="10" t="n">
        <v>0</v>
      </c>
      <c r="T119" s="7"/>
      <c r="U119" s="7"/>
      <c r="V119" s="7"/>
      <c r="W119" s="7" t="s">
        <v>43</v>
      </c>
      <c r="X119" s="7"/>
      <c r="Y119" s="7" t="s">
        <v>37</v>
      </c>
      <c r="Z119" s="7" t="s">
        <v>475</v>
      </c>
      <c r="AA119" s="7"/>
      <c r="AB119" s="10" t="n">
        <v>400000</v>
      </c>
      <c r="AC119" s="10" t="n">
        <v>1</v>
      </c>
    </row>
    <row r="120" customFormat="false" ht="15.75" hidden="true" customHeight="true" outlineLevel="0" collapsed="false">
      <c r="A120" s="6"/>
      <c r="B120" s="7" t="s">
        <v>223</v>
      </c>
      <c r="C120" s="7" t="s">
        <v>65</v>
      </c>
      <c r="D120" s="7" t="s">
        <v>76</v>
      </c>
      <c r="E120" s="7" t="s">
        <v>476</v>
      </c>
      <c r="F120" s="8" t="s">
        <v>477</v>
      </c>
      <c r="G120" s="9" t="n">
        <f aca="false">DATE(2000+VALUE(MID(F120,7,2)),VALUE(MID(F120,4,2)),VALUE(LEFT(F120,2)))</f>
        <v>45456</v>
      </c>
      <c r="H120" s="8" t="s">
        <v>478</v>
      </c>
      <c r="I120" s="9" t="n">
        <f aca="false">DATE(2000+VALUE(MID(H120,7,2)),VALUE(MID(H120,4,2)),VALUE(LEFT(H120,2)))</f>
        <v>45457</v>
      </c>
      <c r="J120" s="9"/>
      <c r="K120" s="10" t="n">
        <v>495000</v>
      </c>
      <c r="L120" s="10" t="n">
        <v>0</v>
      </c>
      <c r="M120" s="10" t="n">
        <v>495000</v>
      </c>
      <c r="N120" s="10" t="n">
        <v>0</v>
      </c>
      <c r="O120" s="10" t="n">
        <v>295000</v>
      </c>
      <c r="P120" s="10" t="n">
        <v>0</v>
      </c>
      <c r="Q120" s="10" t="n">
        <v>200000</v>
      </c>
      <c r="R120" s="10" t="n">
        <v>0</v>
      </c>
      <c r="S120" s="10" t="n">
        <v>0</v>
      </c>
      <c r="T120" s="7"/>
      <c r="U120" s="7"/>
      <c r="V120" s="7"/>
      <c r="W120" s="7" t="s">
        <v>43</v>
      </c>
      <c r="X120" s="7"/>
      <c r="Y120" s="7" t="s">
        <v>37</v>
      </c>
      <c r="Z120" s="7" t="s">
        <v>479</v>
      </c>
      <c r="AA120" s="7"/>
      <c r="AB120" s="10" t="n">
        <v>495000</v>
      </c>
      <c r="AC120" s="10" t="n">
        <v>1</v>
      </c>
    </row>
    <row r="121" customFormat="false" ht="15.75" hidden="true" customHeight="true" outlineLevel="0" collapsed="false">
      <c r="A121" s="6"/>
      <c r="B121" s="7" t="s">
        <v>480</v>
      </c>
      <c r="C121" s="7" t="s">
        <v>31</v>
      </c>
      <c r="D121" s="7" t="s">
        <v>45</v>
      </c>
      <c r="E121" s="7" t="s">
        <v>402</v>
      </c>
      <c r="F121" s="8" t="s">
        <v>481</v>
      </c>
      <c r="G121" s="9" t="n">
        <f aca="false">DATE(2000+VALUE(MID(F121,7,2)),VALUE(MID(F121,4,2)),VALUE(LEFT(F121,2)))</f>
        <v>45454</v>
      </c>
      <c r="H121" s="8" t="s">
        <v>482</v>
      </c>
      <c r="I121" s="9" t="n">
        <f aca="false">DATE(2000+VALUE(MID(H121,7,2)),VALUE(MID(H121,4,2)),VALUE(LEFT(H121,2)))</f>
        <v>45457</v>
      </c>
      <c r="J121" s="9"/>
      <c r="K121" s="10" t="n">
        <v>0</v>
      </c>
      <c r="L121" s="10" t="n">
        <v>140000</v>
      </c>
      <c r="M121" s="10" t="n">
        <v>140000</v>
      </c>
      <c r="N121" s="10" t="n">
        <v>0</v>
      </c>
      <c r="O121" s="10" t="n">
        <v>0</v>
      </c>
      <c r="P121" s="10" t="n">
        <v>0</v>
      </c>
      <c r="Q121" s="10" t="n">
        <v>140000</v>
      </c>
      <c r="R121" s="10" t="n">
        <v>0</v>
      </c>
      <c r="S121" s="10" t="n">
        <v>0</v>
      </c>
      <c r="T121" s="7"/>
      <c r="U121" s="7"/>
      <c r="V121" s="7"/>
      <c r="W121" s="7" t="s">
        <v>113</v>
      </c>
      <c r="X121" s="7"/>
      <c r="Y121" s="7" t="s">
        <v>37</v>
      </c>
      <c r="Z121" s="7" t="s">
        <v>483</v>
      </c>
      <c r="AA121" s="7"/>
      <c r="AB121" s="10" t="n">
        <v>0</v>
      </c>
      <c r="AC121" s="10" t="n">
        <v>3</v>
      </c>
    </row>
    <row r="122" customFormat="false" ht="15.75" hidden="true" customHeight="true" outlineLevel="0" collapsed="false">
      <c r="A122" s="6"/>
      <c r="B122" s="7" t="s">
        <v>484</v>
      </c>
      <c r="C122" s="7" t="s">
        <v>71</v>
      </c>
      <c r="D122" s="7" t="s">
        <v>72</v>
      </c>
      <c r="E122" s="7" t="s">
        <v>485</v>
      </c>
      <c r="F122" s="8" t="s">
        <v>486</v>
      </c>
      <c r="G122" s="9" t="n">
        <f aca="false">DATE(2000+VALUE(MID(F122,7,2)),VALUE(MID(F122,4,2)),VALUE(LEFT(F122,2)))</f>
        <v>45456</v>
      </c>
      <c r="H122" s="8" t="s">
        <v>487</v>
      </c>
      <c r="I122" s="9" t="n">
        <f aca="false">DATE(2000+VALUE(MID(H122,7,2)),VALUE(MID(H122,4,2)),VALUE(LEFT(H122,2)))</f>
        <v>45457</v>
      </c>
      <c r="J122" s="9"/>
      <c r="K122" s="10" t="n">
        <v>630000</v>
      </c>
      <c r="L122" s="10" t="n">
        <v>0</v>
      </c>
      <c r="M122" s="10" t="n">
        <v>630000</v>
      </c>
      <c r="N122" s="10" t="n">
        <v>0</v>
      </c>
      <c r="O122" s="10" t="n">
        <v>630000</v>
      </c>
      <c r="P122" s="10" t="n">
        <v>0</v>
      </c>
      <c r="Q122" s="10" t="n">
        <v>0</v>
      </c>
      <c r="R122" s="10" t="n">
        <v>0</v>
      </c>
      <c r="S122" s="10" t="n">
        <v>0</v>
      </c>
      <c r="T122" s="7"/>
      <c r="U122" s="7"/>
      <c r="V122" s="7"/>
      <c r="W122" s="7" t="s">
        <v>43</v>
      </c>
      <c r="X122" s="7"/>
      <c r="Y122" s="7" t="s">
        <v>37</v>
      </c>
      <c r="Z122" s="7" t="s">
        <v>488</v>
      </c>
      <c r="AA122" s="7"/>
      <c r="AB122" s="10" t="n">
        <v>630000</v>
      </c>
      <c r="AC122" s="10" t="n">
        <v>1</v>
      </c>
    </row>
    <row r="123" customFormat="false" ht="15.75" hidden="true" customHeight="true" outlineLevel="0" collapsed="false">
      <c r="A123" s="6"/>
      <c r="B123" s="7" t="s">
        <v>489</v>
      </c>
      <c r="C123" s="7" t="s">
        <v>31</v>
      </c>
      <c r="D123" s="7" t="s">
        <v>39</v>
      </c>
      <c r="E123" s="7" t="s">
        <v>490</v>
      </c>
      <c r="F123" s="8" t="s">
        <v>491</v>
      </c>
      <c r="G123" s="9" t="n">
        <f aca="false">DATE(2000+VALUE(MID(F123,7,2)),VALUE(MID(F123,4,2)),VALUE(LEFT(F123,2)))</f>
        <v>45456</v>
      </c>
      <c r="H123" s="8" t="s">
        <v>487</v>
      </c>
      <c r="I123" s="9" t="n">
        <f aca="false">DATE(2000+VALUE(MID(H123,7,2)),VALUE(MID(H123,4,2)),VALUE(LEFT(H123,2)))</f>
        <v>45457</v>
      </c>
      <c r="J123" s="9"/>
      <c r="K123" s="10" t="n">
        <v>809000</v>
      </c>
      <c r="L123" s="10" t="n">
        <v>0</v>
      </c>
      <c r="M123" s="10" t="n">
        <v>809000</v>
      </c>
      <c r="N123" s="10" t="n">
        <v>0</v>
      </c>
      <c r="O123" s="10" t="n">
        <v>0</v>
      </c>
      <c r="P123" s="10" t="n">
        <v>0</v>
      </c>
      <c r="Q123" s="10" t="n">
        <v>809000</v>
      </c>
      <c r="R123" s="10" t="n">
        <v>0</v>
      </c>
      <c r="S123" s="10" t="n">
        <v>0</v>
      </c>
      <c r="T123" s="7"/>
      <c r="U123" s="7"/>
      <c r="V123" s="7"/>
      <c r="W123" s="7" t="s">
        <v>43</v>
      </c>
      <c r="X123" s="7"/>
      <c r="Y123" s="7" t="s">
        <v>37</v>
      </c>
      <c r="Z123" s="7" t="s">
        <v>492</v>
      </c>
      <c r="AA123" s="7"/>
      <c r="AB123" s="10" t="n">
        <v>809000</v>
      </c>
      <c r="AC123" s="10" t="n">
        <v>1</v>
      </c>
    </row>
    <row r="124" customFormat="false" ht="15.75" hidden="true" customHeight="true" outlineLevel="0" collapsed="false">
      <c r="A124" s="6"/>
      <c r="B124" s="7" t="s">
        <v>489</v>
      </c>
      <c r="C124" s="7" t="s">
        <v>31</v>
      </c>
      <c r="D124" s="7" t="s">
        <v>361</v>
      </c>
      <c r="E124" s="7" t="s">
        <v>202</v>
      </c>
      <c r="F124" s="8" t="s">
        <v>491</v>
      </c>
      <c r="G124" s="9" t="n">
        <f aca="false">DATE(2000+VALUE(MID(F124,7,2)),VALUE(MID(F124,4,2)),VALUE(LEFT(F124,2)))</f>
        <v>45456</v>
      </c>
      <c r="H124" s="8" t="s">
        <v>487</v>
      </c>
      <c r="I124" s="9" t="n">
        <f aca="false">DATE(2000+VALUE(MID(H124,7,2)),VALUE(MID(H124,4,2)),VALUE(LEFT(H124,2)))</f>
        <v>45457</v>
      </c>
      <c r="J124" s="9"/>
      <c r="K124" s="10" t="n">
        <v>809000</v>
      </c>
      <c r="L124" s="10" t="n">
        <v>0</v>
      </c>
      <c r="M124" s="10" t="n">
        <v>809000</v>
      </c>
      <c r="N124" s="10" t="n">
        <v>0</v>
      </c>
      <c r="O124" s="10" t="n">
        <v>0</v>
      </c>
      <c r="P124" s="10" t="n">
        <v>0</v>
      </c>
      <c r="Q124" s="10" t="n">
        <v>809000</v>
      </c>
      <c r="R124" s="10" t="n">
        <v>0</v>
      </c>
      <c r="S124" s="10" t="n">
        <v>0</v>
      </c>
      <c r="T124" s="7"/>
      <c r="U124" s="7"/>
      <c r="V124" s="7"/>
      <c r="W124" s="7" t="s">
        <v>43</v>
      </c>
      <c r="X124" s="7"/>
      <c r="Y124" s="7" t="s">
        <v>37</v>
      </c>
      <c r="Z124" s="7" t="s">
        <v>493</v>
      </c>
      <c r="AA124" s="7"/>
      <c r="AB124" s="10" t="n">
        <v>809000</v>
      </c>
      <c r="AC124" s="10" t="n">
        <v>1</v>
      </c>
    </row>
    <row r="125" customFormat="false" ht="15.75" hidden="true" customHeight="true" outlineLevel="0" collapsed="false">
      <c r="A125" s="6"/>
      <c r="B125" s="7" t="s">
        <v>433</v>
      </c>
      <c r="C125" s="7" t="s">
        <v>71</v>
      </c>
      <c r="D125" s="7" t="s">
        <v>92</v>
      </c>
      <c r="E125" s="7" t="s">
        <v>461</v>
      </c>
      <c r="F125" s="8" t="s">
        <v>494</v>
      </c>
      <c r="G125" s="9" t="n">
        <f aca="false">DATE(2000+VALUE(MID(F125,7,2)),VALUE(MID(F125,4,2)),VALUE(LEFT(F125,2)))</f>
        <v>45456</v>
      </c>
      <c r="H125" s="8" t="s">
        <v>495</v>
      </c>
      <c r="I125" s="9" t="n">
        <f aca="false">DATE(2000+VALUE(MID(H125,7,2)),VALUE(MID(H125,4,2)),VALUE(LEFT(H125,2)))</f>
        <v>45457</v>
      </c>
      <c r="J125" s="9"/>
      <c r="K125" s="10" t="n">
        <v>444960</v>
      </c>
      <c r="L125" s="10" t="n">
        <v>0</v>
      </c>
      <c r="M125" s="10" t="n">
        <v>444960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444960</v>
      </c>
      <c r="S125" s="10" t="n">
        <v>0</v>
      </c>
      <c r="T125" s="7"/>
      <c r="U125" s="7"/>
      <c r="V125" s="7"/>
      <c r="W125" s="7" t="s">
        <v>49</v>
      </c>
      <c r="X125" s="7"/>
      <c r="Y125" s="7" t="s">
        <v>37</v>
      </c>
      <c r="Z125" s="7" t="s">
        <v>496</v>
      </c>
      <c r="AA125" s="7" t="s">
        <v>497</v>
      </c>
      <c r="AB125" s="10" t="n">
        <v>444960</v>
      </c>
      <c r="AC125" s="10" t="n">
        <v>1</v>
      </c>
    </row>
    <row r="126" customFormat="false" ht="15.75" hidden="true" customHeight="true" outlineLevel="0" collapsed="false">
      <c r="A126" s="6"/>
      <c r="B126" s="7" t="s">
        <v>413</v>
      </c>
      <c r="C126" s="7" t="s">
        <v>60</v>
      </c>
      <c r="D126" s="7" t="s">
        <v>61</v>
      </c>
      <c r="E126" s="7" t="s">
        <v>498</v>
      </c>
      <c r="F126" s="8" t="s">
        <v>499</v>
      </c>
      <c r="G126" s="9" t="n">
        <f aca="false">DATE(2000+VALUE(MID(F126,7,2)),VALUE(MID(F126,4,2)),VALUE(LEFT(F126,2)))</f>
        <v>45455</v>
      </c>
      <c r="H126" s="8" t="s">
        <v>500</v>
      </c>
      <c r="I126" s="9" t="n">
        <f aca="false">DATE(2000+VALUE(MID(H126,7,2)),VALUE(MID(H126,4,2)),VALUE(LEFT(H126,2)))</f>
        <v>45458</v>
      </c>
      <c r="J126" s="9"/>
      <c r="K126" s="10" t="n">
        <v>1415520</v>
      </c>
      <c r="L126" s="10" t="n">
        <v>0</v>
      </c>
      <c r="M126" s="10" t="n">
        <v>1415520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1415520</v>
      </c>
      <c r="S126" s="10" t="n">
        <v>0</v>
      </c>
      <c r="T126" s="7"/>
      <c r="U126" s="7"/>
      <c r="V126" s="7"/>
      <c r="W126" s="7" t="s">
        <v>49</v>
      </c>
      <c r="X126" s="7"/>
      <c r="Y126" s="7" t="s">
        <v>37</v>
      </c>
      <c r="Z126" s="7" t="s">
        <v>501</v>
      </c>
      <c r="AA126" s="7" t="s">
        <v>502</v>
      </c>
      <c r="AB126" s="10" t="n">
        <v>471840</v>
      </c>
      <c r="AC126" s="10" t="n">
        <v>3</v>
      </c>
    </row>
    <row r="127" customFormat="false" ht="15.75" hidden="true" customHeight="true" outlineLevel="0" collapsed="false">
      <c r="A127" s="6"/>
      <c r="B127" s="7" t="s">
        <v>503</v>
      </c>
      <c r="C127" s="7" t="s">
        <v>60</v>
      </c>
      <c r="D127" s="7" t="s">
        <v>173</v>
      </c>
      <c r="E127" s="7" t="s">
        <v>504</v>
      </c>
      <c r="F127" s="8" t="s">
        <v>505</v>
      </c>
      <c r="G127" s="9" t="n">
        <f aca="false">DATE(2000+VALUE(MID(F127,7,2)),VALUE(MID(F127,4,2)),VALUE(LEFT(F127,2)))</f>
        <v>45456</v>
      </c>
      <c r="H127" s="8" t="s">
        <v>506</v>
      </c>
      <c r="I127" s="9" t="n">
        <f aca="false">DATE(2000+VALUE(MID(H127,7,2)),VALUE(MID(H127,4,2)),VALUE(LEFT(H127,2)))</f>
        <v>45458</v>
      </c>
      <c r="J127" s="9"/>
      <c r="K127" s="10" t="n">
        <v>1160000</v>
      </c>
      <c r="L127" s="10" t="n">
        <v>0</v>
      </c>
      <c r="M127" s="10" t="n">
        <v>1160000</v>
      </c>
      <c r="N127" s="10" t="n">
        <v>0</v>
      </c>
      <c r="O127" s="10" t="n">
        <v>680000</v>
      </c>
      <c r="P127" s="10" t="n">
        <v>0</v>
      </c>
      <c r="Q127" s="10" t="n">
        <v>480000</v>
      </c>
      <c r="R127" s="10" t="n">
        <v>0</v>
      </c>
      <c r="S127" s="10" t="n">
        <v>0</v>
      </c>
      <c r="T127" s="7"/>
      <c r="U127" s="7"/>
      <c r="V127" s="7"/>
      <c r="W127" s="7" t="s">
        <v>43</v>
      </c>
      <c r="X127" s="7"/>
      <c r="Y127" s="7" t="s">
        <v>37</v>
      </c>
      <c r="Z127" s="7" t="s">
        <v>507</v>
      </c>
      <c r="AA127" s="7"/>
      <c r="AB127" s="10" t="n">
        <v>580000</v>
      </c>
      <c r="AC127" s="10" t="n">
        <v>2</v>
      </c>
    </row>
    <row r="128" customFormat="false" ht="15.75" hidden="true" customHeight="true" outlineLevel="0" collapsed="false">
      <c r="A128" s="6"/>
      <c r="B128" s="7" t="s">
        <v>503</v>
      </c>
      <c r="C128" s="7" t="s">
        <v>65</v>
      </c>
      <c r="D128" s="7" t="s">
        <v>66</v>
      </c>
      <c r="E128" s="7" t="s">
        <v>202</v>
      </c>
      <c r="F128" s="8" t="s">
        <v>505</v>
      </c>
      <c r="G128" s="9" t="n">
        <f aca="false">DATE(2000+VALUE(MID(F128,7,2)),VALUE(MID(F128,4,2)),VALUE(LEFT(F128,2)))</f>
        <v>45456</v>
      </c>
      <c r="H128" s="8" t="s">
        <v>506</v>
      </c>
      <c r="I128" s="9" t="n">
        <f aca="false">DATE(2000+VALUE(MID(H128,7,2)),VALUE(MID(H128,4,2)),VALUE(LEFT(H128,2)))</f>
        <v>45458</v>
      </c>
      <c r="J128" s="9"/>
      <c r="K128" s="10" t="n">
        <v>960000</v>
      </c>
      <c r="L128" s="10" t="n">
        <v>0</v>
      </c>
      <c r="M128" s="10" t="n">
        <v>960000</v>
      </c>
      <c r="N128" s="10" t="n">
        <v>0</v>
      </c>
      <c r="O128" s="10" t="n">
        <v>960000</v>
      </c>
      <c r="P128" s="10" t="n">
        <v>0</v>
      </c>
      <c r="Q128" s="10" t="n">
        <v>0</v>
      </c>
      <c r="R128" s="10" t="n">
        <v>0</v>
      </c>
      <c r="S128" s="10" t="n">
        <v>0</v>
      </c>
      <c r="T128" s="7"/>
      <c r="U128" s="7"/>
      <c r="V128" s="7"/>
      <c r="W128" s="7" t="s">
        <v>43</v>
      </c>
      <c r="X128" s="7"/>
      <c r="Y128" s="7" t="s">
        <v>37</v>
      </c>
      <c r="Z128" s="7" t="s">
        <v>508</v>
      </c>
      <c r="AA128" s="7"/>
      <c r="AB128" s="10" t="n">
        <v>480000</v>
      </c>
      <c r="AC128" s="10" t="n">
        <v>2</v>
      </c>
    </row>
    <row r="129" customFormat="false" ht="15.75" hidden="true" customHeight="true" outlineLevel="0" collapsed="false">
      <c r="A129" s="6"/>
      <c r="B129" s="7" t="s">
        <v>503</v>
      </c>
      <c r="C129" s="7" t="s">
        <v>65</v>
      </c>
      <c r="D129" s="7" t="s">
        <v>96</v>
      </c>
      <c r="E129" s="7" t="s">
        <v>202</v>
      </c>
      <c r="F129" s="8" t="s">
        <v>505</v>
      </c>
      <c r="G129" s="9" t="n">
        <f aca="false">DATE(2000+VALUE(MID(F129,7,2)),VALUE(MID(F129,4,2)),VALUE(LEFT(F129,2)))</f>
        <v>45456</v>
      </c>
      <c r="H129" s="8" t="s">
        <v>506</v>
      </c>
      <c r="I129" s="9" t="n">
        <f aca="false">DATE(2000+VALUE(MID(H129,7,2)),VALUE(MID(H129,4,2)),VALUE(LEFT(H129,2)))</f>
        <v>45458</v>
      </c>
      <c r="J129" s="9"/>
      <c r="K129" s="10" t="n">
        <v>960000</v>
      </c>
      <c r="L129" s="10" t="n">
        <v>0</v>
      </c>
      <c r="M129" s="10" t="n">
        <v>960000</v>
      </c>
      <c r="N129" s="10" t="n">
        <v>0</v>
      </c>
      <c r="O129" s="10" t="n">
        <v>960000</v>
      </c>
      <c r="P129" s="10" t="n">
        <v>0</v>
      </c>
      <c r="Q129" s="10" t="n">
        <v>0</v>
      </c>
      <c r="R129" s="10" t="n">
        <v>0</v>
      </c>
      <c r="S129" s="10" t="n">
        <v>0</v>
      </c>
      <c r="T129" s="7"/>
      <c r="U129" s="7"/>
      <c r="V129" s="7"/>
      <c r="W129" s="7" t="s">
        <v>43</v>
      </c>
      <c r="X129" s="7"/>
      <c r="Y129" s="7" t="s">
        <v>37</v>
      </c>
      <c r="Z129" s="7" t="s">
        <v>509</v>
      </c>
      <c r="AA129" s="7"/>
      <c r="AB129" s="10" t="n">
        <v>480000</v>
      </c>
      <c r="AC129" s="10" t="n">
        <v>2</v>
      </c>
    </row>
    <row r="130" customFormat="false" ht="15.75" hidden="true" customHeight="true" outlineLevel="0" collapsed="false">
      <c r="A130" s="6"/>
      <c r="B130" s="7" t="s">
        <v>503</v>
      </c>
      <c r="C130" s="7" t="s">
        <v>65</v>
      </c>
      <c r="D130" s="7" t="s">
        <v>87</v>
      </c>
      <c r="E130" s="7" t="s">
        <v>202</v>
      </c>
      <c r="F130" s="8" t="s">
        <v>505</v>
      </c>
      <c r="G130" s="9" t="n">
        <f aca="false">DATE(2000+VALUE(MID(F130,7,2)),VALUE(MID(F130,4,2)),VALUE(LEFT(F130,2)))</f>
        <v>45456</v>
      </c>
      <c r="H130" s="8" t="s">
        <v>506</v>
      </c>
      <c r="I130" s="9" t="n">
        <f aca="false">DATE(2000+VALUE(MID(H130,7,2)),VALUE(MID(H130,4,2)),VALUE(LEFT(H130,2)))</f>
        <v>45458</v>
      </c>
      <c r="J130" s="9"/>
      <c r="K130" s="10" t="n">
        <v>960000</v>
      </c>
      <c r="L130" s="10" t="n">
        <v>0</v>
      </c>
      <c r="M130" s="10" t="n">
        <v>960000</v>
      </c>
      <c r="N130" s="10" t="n">
        <v>0</v>
      </c>
      <c r="O130" s="10" t="n">
        <v>960000</v>
      </c>
      <c r="P130" s="10" t="n">
        <v>0</v>
      </c>
      <c r="Q130" s="10" t="n">
        <v>0</v>
      </c>
      <c r="R130" s="10" t="n">
        <v>0</v>
      </c>
      <c r="S130" s="10" t="n">
        <v>0</v>
      </c>
      <c r="T130" s="7"/>
      <c r="U130" s="7"/>
      <c r="V130" s="7"/>
      <c r="W130" s="7" t="s">
        <v>43</v>
      </c>
      <c r="X130" s="7"/>
      <c r="Y130" s="7" t="s">
        <v>37</v>
      </c>
      <c r="Z130" s="7" t="s">
        <v>510</v>
      </c>
      <c r="AA130" s="7"/>
      <c r="AB130" s="10" t="n">
        <v>480000</v>
      </c>
      <c r="AC130" s="10" t="n">
        <v>2</v>
      </c>
    </row>
    <row r="131" customFormat="false" ht="15.75" hidden="true" customHeight="true" outlineLevel="0" collapsed="false">
      <c r="A131" s="6"/>
      <c r="B131" s="7" t="s">
        <v>511</v>
      </c>
      <c r="C131" s="7" t="s">
        <v>65</v>
      </c>
      <c r="D131" s="7" t="s">
        <v>76</v>
      </c>
      <c r="E131" s="7" t="s">
        <v>512</v>
      </c>
      <c r="F131" s="8" t="s">
        <v>513</v>
      </c>
      <c r="G131" s="9" t="n">
        <f aca="false">DATE(2000+VALUE(MID(F131,7,2)),VALUE(MID(F131,4,2)),VALUE(LEFT(F131,2)))</f>
        <v>45457</v>
      </c>
      <c r="H131" s="8" t="s">
        <v>514</v>
      </c>
      <c r="I131" s="9" t="n">
        <f aca="false">DATE(2000+VALUE(MID(H131,7,2)),VALUE(MID(H131,4,2)),VALUE(LEFT(H131,2)))</f>
        <v>45459</v>
      </c>
      <c r="J131" s="9"/>
      <c r="K131" s="10" t="n">
        <v>1051200</v>
      </c>
      <c r="L131" s="10" t="n">
        <v>0</v>
      </c>
      <c r="M131" s="10" t="n">
        <v>1051200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1051200</v>
      </c>
      <c r="S131" s="10" t="n">
        <v>0</v>
      </c>
      <c r="T131" s="7"/>
      <c r="U131" s="7"/>
      <c r="V131" s="7"/>
      <c r="W131" s="7" t="s">
        <v>49</v>
      </c>
      <c r="X131" s="7"/>
      <c r="Y131" s="7" t="s">
        <v>37</v>
      </c>
      <c r="Z131" s="7" t="s">
        <v>515</v>
      </c>
      <c r="AA131" s="7" t="s">
        <v>516</v>
      </c>
      <c r="AB131" s="10" t="n">
        <v>525600</v>
      </c>
      <c r="AC131" s="10" t="n">
        <v>2</v>
      </c>
    </row>
    <row r="132" customFormat="false" ht="15.75" hidden="true" customHeight="true" outlineLevel="0" collapsed="false">
      <c r="A132" s="6"/>
      <c r="B132" s="7" t="s">
        <v>483</v>
      </c>
      <c r="C132" s="7" t="s">
        <v>65</v>
      </c>
      <c r="D132" s="7" t="s">
        <v>66</v>
      </c>
      <c r="E132" s="7" t="s">
        <v>517</v>
      </c>
      <c r="F132" s="8" t="s">
        <v>518</v>
      </c>
      <c r="G132" s="9" t="n">
        <f aca="false">DATE(2000+VALUE(MID(F132,7,2)),VALUE(MID(F132,4,2)),VALUE(LEFT(F132,2)))</f>
        <v>45458</v>
      </c>
      <c r="H132" s="8" t="s">
        <v>519</v>
      </c>
      <c r="I132" s="9" t="n">
        <f aca="false">DATE(2000+VALUE(MID(H132,7,2)),VALUE(MID(H132,4,2)),VALUE(LEFT(H132,2)))</f>
        <v>45459</v>
      </c>
      <c r="J132" s="9"/>
      <c r="K132" s="10" t="n">
        <v>570000</v>
      </c>
      <c r="L132" s="10" t="n">
        <v>0</v>
      </c>
      <c r="M132" s="10" t="n">
        <v>570000</v>
      </c>
      <c r="N132" s="10" t="n">
        <v>0</v>
      </c>
      <c r="O132" s="10" t="n">
        <v>50800</v>
      </c>
      <c r="P132" s="10" t="n">
        <v>0</v>
      </c>
      <c r="Q132" s="10" t="n">
        <v>519200</v>
      </c>
      <c r="R132" s="10" t="n">
        <v>0</v>
      </c>
      <c r="S132" s="10" t="n">
        <v>0</v>
      </c>
      <c r="T132" s="7"/>
      <c r="U132" s="7"/>
      <c r="V132" s="7"/>
      <c r="W132" s="7" t="s">
        <v>43</v>
      </c>
      <c r="X132" s="7"/>
      <c r="Y132" s="7" t="s">
        <v>37</v>
      </c>
      <c r="Z132" s="7" t="s">
        <v>520</v>
      </c>
      <c r="AA132" s="7"/>
      <c r="AB132" s="10" t="n">
        <v>570000</v>
      </c>
      <c r="AC132" s="10" t="n">
        <v>1</v>
      </c>
    </row>
    <row r="133" customFormat="false" ht="15.75" hidden="true" customHeight="true" outlineLevel="0" collapsed="false">
      <c r="A133" s="6"/>
      <c r="B133" s="7" t="s">
        <v>445</v>
      </c>
      <c r="C133" s="7" t="s">
        <v>65</v>
      </c>
      <c r="D133" s="7" t="s">
        <v>87</v>
      </c>
      <c r="E133" s="7" t="s">
        <v>521</v>
      </c>
      <c r="F133" s="8" t="s">
        <v>522</v>
      </c>
      <c r="G133" s="9" t="n">
        <f aca="false">DATE(2000+VALUE(MID(F133,7,2)),VALUE(MID(F133,4,2)),VALUE(LEFT(F133,2)))</f>
        <v>45458</v>
      </c>
      <c r="H133" s="8" t="s">
        <v>523</v>
      </c>
      <c r="I133" s="9" t="n">
        <f aca="false">DATE(2000+VALUE(MID(H133,7,2)),VALUE(MID(H133,4,2)),VALUE(LEFT(H133,2)))</f>
        <v>45459</v>
      </c>
      <c r="J133" s="9"/>
      <c r="K133" s="10" t="n">
        <v>525600</v>
      </c>
      <c r="L133" s="10" t="n">
        <v>0</v>
      </c>
      <c r="M133" s="10" t="n">
        <v>525600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525600</v>
      </c>
      <c r="S133" s="10" t="n">
        <v>0</v>
      </c>
      <c r="T133" s="7"/>
      <c r="U133" s="7"/>
      <c r="V133" s="7"/>
      <c r="W133" s="7" t="s">
        <v>49</v>
      </c>
      <c r="X133" s="7"/>
      <c r="Y133" s="7" t="s">
        <v>37</v>
      </c>
      <c r="Z133" s="7" t="s">
        <v>524</v>
      </c>
      <c r="AA133" s="7" t="s">
        <v>525</v>
      </c>
      <c r="AB133" s="10" t="n">
        <v>525600</v>
      </c>
      <c r="AC133" s="10" t="n">
        <v>1</v>
      </c>
    </row>
    <row r="134" customFormat="false" ht="15.75" hidden="true" customHeight="true" outlineLevel="0" collapsed="false">
      <c r="A134" s="6"/>
      <c r="B134" s="7" t="s">
        <v>446</v>
      </c>
      <c r="C134" s="7" t="s">
        <v>60</v>
      </c>
      <c r="D134" s="7" t="s">
        <v>61</v>
      </c>
      <c r="E134" s="7" t="s">
        <v>498</v>
      </c>
      <c r="F134" s="8" t="s">
        <v>522</v>
      </c>
      <c r="G134" s="9" t="n">
        <f aca="false">DATE(2000+VALUE(MID(F134,7,2)),VALUE(MID(F134,4,2)),VALUE(LEFT(F134,2)))</f>
        <v>45458</v>
      </c>
      <c r="H134" s="8" t="s">
        <v>526</v>
      </c>
      <c r="I134" s="9" t="n">
        <f aca="false">DATE(2000+VALUE(MID(H134,7,2)),VALUE(MID(H134,4,2)),VALUE(LEFT(H134,2)))</f>
        <v>45459</v>
      </c>
      <c r="J134" s="9"/>
      <c r="K134" s="10" t="n">
        <v>525600</v>
      </c>
      <c r="L134" s="10" t="n">
        <v>0</v>
      </c>
      <c r="M134" s="10" t="n">
        <v>525600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525600</v>
      </c>
      <c r="S134" s="10" t="n">
        <v>0</v>
      </c>
      <c r="T134" s="7"/>
      <c r="U134" s="7"/>
      <c r="V134" s="7"/>
      <c r="W134" s="7" t="s">
        <v>49</v>
      </c>
      <c r="X134" s="7"/>
      <c r="Y134" s="7" t="s">
        <v>37</v>
      </c>
      <c r="Z134" s="7" t="s">
        <v>527</v>
      </c>
      <c r="AA134" s="7" t="s">
        <v>528</v>
      </c>
      <c r="AB134" s="10" t="n">
        <v>525600</v>
      </c>
      <c r="AC134" s="10" t="n">
        <v>1</v>
      </c>
    </row>
    <row r="135" customFormat="false" ht="15.75" hidden="true" customHeight="true" outlineLevel="0" collapsed="false">
      <c r="A135" s="6"/>
      <c r="B135" s="7" t="s">
        <v>515</v>
      </c>
      <c r="C135" s="7" t="s">
        <v>71</v>
      </c>
      <c r="D135" s="7" t="s">
        <v>92</v>
      </c>
      <c r="E135" s="7" t="s">
        <v>529</v>
      </c>
      <c r="F135" s="8" t="s">
        <v>530</v>
      </c>
      <c r="G135" s="9" t="n">
        <f aca="false">DATE(2000+VALUE(MID(F135,7,2)),VALUE(MID(F135,4,2)),VALUE(LEFT(F135,2)))</f>
        <v>45457</v>
      </c>
      <c r="H135" s="8" t="s">
        <v>531</v>
      </c>
      <c r="I135" s="9" t="n">
        <f aca="false">DATE(2000+VALUE(MID(H135,7,2)),VALUE(MID(H135,4,2)),VALUE(LEFT(H135,2)))</f>
        <v>45459</v>
      </c>
      <c r="J135" s="9"/>
      <c r="K135" s="10" t="n">
        <v>1100000</v>
      </c>
      <c r="L135" s="10" t="n">
        <v>0</v>
      </c>
      <c r="M135" s="10" t="n">
        <v>1100000</v>
      </c>
      <c r="N135" s="10" t="n">
        <v>0</v>
      </c>
      <c r="O135" s="10" t="n">
        <v>0</v>
      </c>
      <c r="P135" s="10" t="n">
        <v>0</v>
      </c>
      <c r="Q135" s="10" t="n">
        <v>1100000</v>
      </c>
      <c r="R135" s="10" t="n">
        <v>0</v>
      </c>
      <c r="S135" s="10" t="n">
        <v>0</v>
      </c>
      <c r="T135" s="7"/>
      <c r="U135" s="7"/>
      <c r="V135" s="7"/>
      <c r="W135" s="7" t="s">
        <v>43</v>
      </c>
      <c r="X135" s="7"/>
      <c r="Y135" s="7" t="s">
        <v>37</v>
      </c>
      <c r="Z135" s="7" t="s">
        <v>532</v>
      </c>
      <c r="AA135" s="7"/>
      <c r="AB135" s="10" t="n">
        <v>550000</v>
      </c>
      <c r="AC135" s="10" t="n">
        <v>2</v>
      </c>
    </row>
    <row r="136" customFormat="false" ht="15.75" hidden="true" customHeight="true" outlineLevel="0" collapsed="false">
      <c r="A136" s="6"/>
      <c r="B136" s="7" t="s">
        <v>501</v>
      </c>
      <c r="C136" s="7" t="s">
        <v>65</v>
      </c>
      <c r="D136" s="7" t="s">
        <v>87</v>
      </c>
      <c r="E136" s="7" t="s">
        <v>533</v>
      </c>
      <c r="F136" s="8" t="s">
        <v>534</v>
      </c>
      <c r="G136" s="9" t="n">
        <f aca="false">DATE(2000+VALUE(MID(F136,7,2)),VALUE(MID(F136,4,2)),VALUE(LEFT(F136,2)))</f>
        <v>45459</v>
      </c>
      <c r="H136" s="8" t="s">
        <v>535</v>
      </c>
      <c r="I136" s="9" t="n">
        <f aca="false">DATE(2000+VALUE(MID(H136,7,2)),VALUE(MID(H136,4,2)),VALUE(LEFT(H136,2)))</f>
        <v>45460</v>
      </c>
      <c r="J136" s="9"/>
      <c r="K136" s="10" t="n">
        <v>406000</v>
      </c>
      <c r="L136" s="10" t="n">
        <v>0</v>
      </c>
      <c r="M136" s="10" t="n">
        <v>406000</v>
      </c>
      <c r="N136" s="10" t="n">
        <v>0</v>
      </c>
      <c r="O136" s="10" t="n">
        <v>0</v>
      </c>
      <c r="P136" s="10" t="n">
        <v>0</v>
      </c>
      <c r="Q136" s="10" t="n">
        <v>406000</v>
      </c>
      <c r="R136" s="10" t="n">
        <v>0</v>
      </c>
      <c r="S136" s="10" t="n">
        <v>0</v>
      </c>
      <c r="T136" s="7"/>
      <c r="U136" s="7"/>
      <c r="V136" s="7"/>
      <c r="W136" s="7" t="s">
        <v>54</v>
      </c>
      <c r="X136" s="7"/>
      <c r="Y136" s="7" t="s">
        <v>37</v>
      </c>
      <c r="Z136" s="7" t="s">
        <v>536</v>
      </c>
      <c r="AA136" s="7"/>
      <c r="AB136" s="10" t="n">
        <v>406000</v>
      </c>
      <c r="AC136" s="10" t="n">
        <v>1</v>
      </c>
    </row>
    <row r="137" customFormat="false" ht="15.75" hidden="true" customHeight="true" outlineLevel="0" collapsed="false">
      <c r="A137" s="6"/>
      <c r="B137" s="7" t="s">
        <v>273</v>
      </c>
      <c r="C137" s="7" t="s">
        <v>31</v>
      </c>
      <c r="D137" s="7" t="s">
        <v>45</v>
      </c>
      <c r="E137" s="7" t="s">
        <v>537</v>
      </c>
      <c r="F137" s="8" t="s">
        <v>530</v>
      </c>
      <c r="G137" s="9" t="n">
        <f aca="false">DATE(2000+VALUE(MID(F137,7,2)),VALUE(MID(F137,4,2)),VALUE(LEFT(F137,2)))</f>
        <v>45457</v>
      </c>
      <c r="H137" s="8" t="s">
        <v>538</v>
      </c>
      <c r="I137" s="9" t="n">
        <f aca="false">DATE(2000+VALUE(MID(H137,7,2)),VALUE(MID(H137,4,2)),VALUE(LEFT(H137,2)))</f>
        <v>45460</v>
      </c>
      <c r="J137" s="9"/>
      <c r="K137" s="10" t="n">
        <v>2067833</v>
      </c>
      <c r="L137" s="10" t="n">
        <v>0</v>
      </c>
      <c r="M137" s="10" t="n">
        <v>2067833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2067833</v>
      </c>
      <c r="S137" s="10" t="n">
        <v>0</v>
      </c>
      <c r="T137" s="7"/>
      <c r="U137" s="7"/>
      <c r="V137" s="7"/>
      <c r="W137" s="7" t="s">
        <v>49</v>
      </c>
      <c r="X137" s="7"/>
      <c r="Y137" s="7" t="s">
        <v>37</v>
      </c>
      <c r="Z137" s="7" t="s">
        <v>357</v>
      </c>
      <c r="AA137" s="7" t="s">
        <v>539</v>
      </c>
      <c r="AB137" s="10" t="n">
        <v>689277.6666</v>
      </c>
      <c r="AC137" s="10" t="n">
        <v>3</v>
      </c>
    </row>
    <row r="138" customFormat="false" ht="15.75" hidden="true" customHeight="true" outlineLevel="0" collapsed="false">
      <c r="A138" s="6"/>
      <c r="B138" s="7" t="s">
        <v>444</v>
      </c>
      <c r="C138" s="7" t="s">
        <v>31</v>
      </c>
      <c r="D138" s="7" t="s">
        <v>32</v>
      </c>
      <c r="E138" s="7" t="s">
        <v>540</v>
      </c>
      <c r="F138" s="8" t="s">
        <v>541</v>
      </c>
      <c r="G138" s="9" t="n">
        <f aca="false">DATE(2000+VALUE(MID(F138,7,2)),VALUE(MID(F138,4,2)),VALUE(LEFT(F138,2)))</f>
        <v>45457</v>
      </c>
      <c r="H138" s="8" t="s">
        <v>538</v>
      </c>
      <c r="I138" s="9" t="n">
        <f aca="false">DATE(2000+VALUE(MID(H138,7,2)),VALUE(MID(H138,4,2)),VALUE(LEFT(H138,2)))</f>
        <v>45460</v>
      </c>
      <c r="J138" s="9"/>
      <c r="K138" s="10" t="n">
        <v>1500000</v>
      </c>
      <c r="L138" s="10" t="n">
        <v>38000</v>
      </c>
      <c r="M138" s="10" t="n">
        <v>1538000</v>
      </c>
      <c r="N138" s="10" t="n">
        <v>0</v>
      </c>
      <c r="O138" s="10" t="n">
        <v>1538000</v>
      </c>
      <c r="P138" s="10" t="n">
        <v>0</v>
      </c>
      <c r="Q138" s="10" t="n">
        <v>0</v>
      </c>
      <c r="R138" s="10" t="n">
        <v>0</v>
      </c>
      <c r="S138" s="10" t="n">
        <v>0</v>
      </c>
      <c r="T138" s="7"/>
      <c r="U138" s="7"/>
      <c r="V138" s="7"/>
      <c r="W138" s="7" t="s">
        <v>43</v>
      </c>
      <c r="X138" s="7"/>
      <c r="Y138" s="7" t="s">
        <v>37</v>
      </c>
      <c r="Z138" s="7" t="s">
        <v>542</v>
      </c>
      <c r="AA138" s="7"/>
      <c r="AB138" s="10" t="n">
        <v>500000</v>
      </c>
      <c r="AC138" s="10" t="n">
        <v>3</v>
      </c>
    </row>
    <row r="139" customFormat="false" ht="15.75" hidden="true" customHeight="true" outlineLevel="0" collapsed="false">
      <c r="A139" s="6"/>
      <c r="B139" s="7" t="s">
        <v>449</v>
      </c>
      <c r="C139" s="7" t="s">
        <v>65</v>
      </c>
      <c r="D139" s="7" t="s">
        <v>66</v>
      </c>
      <c r="E139" s="7" t="s">
        <v>543</v>
      </c>
      <c r="F139" s="8" t="s">
        <v>544</v>
      </c>
      <c r="G139" s="9" t="n">
        <f aca="false">DATE(2000+VALUE(MID(F139,7,2)),VALUE(MID(F139,4,2)),VALUE(LEFT(F139,2)))</f>
        <v>45459</v>
      </c>
      <c r="H139" s="8" t="s">
        <v>545</v>
      </c>
      <c r="I139" s="9" t="n">
        <f aca="false">DATE(2000+VALUE(MID(H139,7,2)),VALUE(MID(H139,4,2)),VALUE(LEFT(H139,2)))</f>
        <v>45460</v>
      </c>
      <c r="J139" s="9"/>
      <c r="K139" s="10" t="n">
        <v>444960</v>
      </c>
      <c r="L139" s="10" t="n">
        <v>0</v>
      </c>
      <c r="M139" s="10" t="n">
        <v>444960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444960</v>
      </c>
      <c r="S139" s="10" t="n">
        <v>0</v>
      </c>
      <c r="T139" s="7"/>
      <c r="U139" s="7"/>
      <c r="V139" s="7"/>
      <c r="W139" s="7" t="s">
        <v>49</v>
      </c>
      <c r="X139" s="7"/>
      <c r="Y139" s="7" t="s">
        <v>37</v>
      </c>
      <c r="Z139" s="7" t="s">
        <v>546</v>
      </c>
      <c r="AA139" s="7" t="s">
        <v>547</v>
      </c>
      <c r="AB139" s="10" t="n">
        <v>444960</v>
      </c>
      <c r="AC139" s="10" t="n">
        <v>1</v>
      </c>
    </row>
    <row r="140" customFormat="false" ht="15.75" hidden="true" customHeight="true" outlineLevel="0" collapsed="false">
      <c r="A140" s="6"/>
      <c r="B140" s="7" t="s">
        <v>548</v>
      </c>
      <c r="C140" s="7" t="s">
        <v>65</v>
      </c>
      <c r="D140" s="7" t="s">
        <v>76</v>
      </c>
      <c r="E140" s="7" t="s">
        <v>512</v>
      </c>
      <c r="F140" s="8" t="s">
        <v>549</v>
      </c>
      <c r="G140" s="9" t="n">
        <f aca="false">DATE(2000+VALUE(MID(F140,7,2)),VALUE(MID(F140,4,2)),VALUE(LEFT(F140,2)))</f>
        <v>45457</v>
      </c>
      <c r="H140" s="8" t="s">
        <v>550</v>
      </c>
      <c r="I140" s="9" t="n">
        <f aca="false">DATE(2000+VALUE(MID(H140,7,2)),VALUE(MID(H140,4,2)),VALUE(LEFT(H140,2)))</f>
        <v>45460</v>
      </c>
      <c r="J140" s="9"/>
      <c r="K140" s="10" t="n">
        <v>1496160</v>
      </c>
      <c r="L140" s="10" t="n">
        <v>127000</v>
      </c>
      <c r="M140" s="10" t="n">
        <v>1623160</v>
      </c>
      <c r="N140" s="10" t="n">
        <v>0</v>
      </c>
      <c r="O140" s="10" t="n">
        <v>38000</v>
      </c>
      <c r="P140" s="10" t="n">
        <v>0</v>
      </c>
      <c r="Q140" s="10" t="n">
        <v>89000</v>
      </c>
      <c r="R140" s="10" t="n">
        <v>1496160</v>
      </c>
      <c r="S140" s="10" t="n">
        <v>0</v>
      </c>
      <c r="T140" s="7"/>
      <c r="U140" s="7"/>
      <c r="V140" s="7"/>
      <c r="W140" s="7" t="s">
        <v>49</v>
      </c>
      <c r="X140" s="7"/>
      <c r="Y140" s="7" t="s">
        <v>37</v>
      </c>
      <c r="Z140" s="7" t="s">
        <v>551</v>
      </c>
      <c r="AA140" s="7" t="s">
        <v>552</v>
      </c>
      <c r="AB140" s="10" t="n">
        <v>498720</v>
      </c>
      <c r="AC140" s="10" t="n">
        <v>3</v>
      </c>
    </row>
    <row r="141" customFormat="false" ht="15.75" hidden="true" customHeight="true" outlineLevel="0" collapsed="false">
      <c r="A141" s="6"/>
      <c r="B141" s="7" t="s">
        <v>471</v>
      </c>
      <c r="C141" s="7" t="s">
        <v>65</v>
      </c>
      <c r="D141" s="7" t="s">
        <v>96</v>
      </c>
      <c r="E141" s="7" t="s">
        <v>202</v>
      </c>
      <c r="F141" s="8" t="s">
        <v>553</v>
      </c>
      <c r="G141" s="9" t="n">
        <f aca="false">DATE(2000+VALUE(MID(F141,7,2)),VALUE(MID(F141,4,2)),VALUE(LEFT(F141,2)))</f>
        <v>45458</v>
      </c>
      <c r="H141" s="8" t="s">
        <v>550</v>
      </c>
      <c r="I141" s="9" t="n">
        <f aca="false">DATE(2000+VALUE(MID(H141,7,2)),VALUE(MID(H141,4,2)),VALUE(LEFT(H141,2)))</f>
        <v>45460</v>
      </c>
      <c r="J141" s="9"/>
      <c r="K141" s="10" t="n">
        <v>990000</v>
      </c>
      <c r="L141" s="10" t="n">
        <v>0</v>
      </c>
      <c r="M141" s="10" t="n">
        <v>990000</v>
      </c>
      <c r="N141" s="10" t="n">
        <v>0</v>
      </c>
      <c r="O141" s="10" t="n">
        <v>0</v>
      </c>
      <c r="P141" s="10" t="n">
        <v>0</v>
      </c>
      <c r="Q141" s="10" t="n">
        <v>990000</v>
      </c>
      <c r="R141" s="10" t="n">
        <v>0</v>
      </c>
      <c r="S141" s="10" t="n">
        <v>0</v>
      </c>
      <c r="T141" s="7"/>
      <c r="U141" s="7"/>
      <c r="V141" s="7"/>
      <c r="W141" s="7" t="s">
        <v>43</v>
      </c>
      <c r="X141" s="7"/>
      <c r="Y141" s="7" t="s">
        <v>37</v>
      </c>
      <c r="Z141" s="7" t="s">
        <v>554</v>
      </c>
      <c r="AA141" s="7"/>
      <c r="AB141" s="10" t="n">
        <v>495000</v>
      </c>
      <c r="AC141" s="10" t="n">
        <v>2</v>
      </c>
    </row>
    <row r="142" customFormat="false" ht="15.75" hidden="true" customHeight="true" outlineLevel="0" collapsed="false">
      <c r="A142" s="6"/>
      <c r="B142" s="7" t="s">
        <v>555</v>
      </c>
      <c r="C142" s="7" t="s">
        <v>60</v>
      </c>
      <c r="D142" s="7" t="s">
        <v>173</v>
      </c>
      <c r="E142" s="7" t="s">
        <v>556</v>
      </c>
      <c r="F142" s="8" t="s">
        <v>557</v>
      </c>
      <c r="G142" s="9" t="n">
        <f aca="false">DATE(2000+VALUE(MID(F142,7,2)),VALUE(MID(F142,4,2)),VALUE(LEFT(F142,2)))</f>
        <v>45458</v>
      </c>
      <c r="H142" s="8" t="s">
        <v>550</v>
      </c>
      <c r="I142" s="9" t="n">
        <f aca="false">DATE(2000+VALUE(MID(H142,7,2)),VALUE(MID(H142,4,2)),VALUE(LEFT(H142,2)))</f>
        <v>45460</v>
      </c>
      <c r="J142" s="9"/>
      <c r="K142" s="10" t="n">
        <v>1160000</v>
      </c>
      <c r="L142" s="10" t="n">
        <v>400000</v>
      </c>
      <c r="M142" s="10" t="n">
        <v>1560000</v>
      </c>
      <c r="N142" s="10" t="n">
        <v>0</v>
      </c>
      <c r="O142" s="10" t="n">
        <v>0</v>
      </c>
      <c r="P142" s="10" t="n">
        <v>0</v>
      </c>
      <c r="Q142" s="10" t="n">
        <v>1560000</v>
      </c>
      <c r="R142" s="10" t="n">
        <v>0</v>
      </c>
      <c r="S142" s="10" t="n">
        <v>0</v>
      </c>
      <c r="T142" s="7"/>
      <c r="U142" s="7"/>
      <c r="V142" s="7"/>
      <c r="W142" s="7" t="s">
        <v>43</v>
      </c>
      <c r="X142" s="7"/>
      <c r="Y142" s="7" t="s">
        <v>37</v>
      </c>
      <c r="Z142" s="7" t="s">
        <v>558</v>
      </c>
      <c r="AA142" s="7"/>
      <c r="AB142" s="10" t="n">
        <v>580000</v>
      </c>
      <c r="AC142" s="10" t="n">
        <v>2</v>
      </c>
    </row>
    <row r="143" customFormat="false" ht="15.75" hidden="true" customHeight="true" outlineLevel="0" collapsed="false">
      <c r="A143" s="6"/>
      <c r="B143" s="7" t="s">
        <v>467</v>
      </c>
      <c r="C143" s="7" t="s">
        <v>60</v>
      </c>
      <c r="D143" s="7" t="s">
        <v>164</v>
      </c>
      <c r="E143" s="7" t="s">
        <v>559</v>
      </c>
      <c r="F143" s="8" t="s">
        <v>560</v>
      </c>
      <c r="G143" s="9" t="n">
        <f aca="false">DATE(2000+VALUE(MID(F143,7,2)),VALUE(MID(F143,4,2)),VALUE(LEFT(F143,2)))</f>
        <v>45460</v>
      </c>
      <c r="H143" s="8" t="s">
        <v>561</v>
      </c>
      <c r="I143" s="9" t="n">
        <f aca="false">DATE(2000+VALUE(MID(H143,7,2)),VALUE(MID(H143,4,2)),VALUE(LEFT(H143,2)))</f>
        <v>45460</v>
      </c>
      <c r="J143" s="9"/>
      <c r="K143" s="10" t="n">
        <v>550000</v>
      </c>
      <c r="L143" s="10" t="n">
        <v>0</v>
      </c>
      <c r="M143" s="10" t="n">
        <v>550000</v>
      </c>
      <c r="N143" s="10" t="n">
        <v>0</v>
      </c>
      <c r="O143" s="10" t="n">
        <v>-100000</v>
      </c>
      <c r="P143" s="10" t="n">
        <v>0</v>
      </c>
      <c r="Q143" s="10" t="n">
        <v>100000</v>
      </c>
      <c r="R143" s="10" t="n">
        <v>550000</v>
      </c>
      <c r="S143" s="10" t="n">
        <v>0</v>
      </c>
      <c r="T143" s="7"/>
      <c r="U143" s="7"/>
      <c r="V143" s="7"/>
      <c r="W143" s="7" t="s">
        <v>43</v>
      </c>
      <c r="X143" s="7"/>
      <c r="Y143" s="7" t="s">
        <v>37</v>
      </c>
      <c r="Z143" s="7" t="s">
        <v>562</v>
      </c>
      <c r="AA143" s="7"/>
      <c r="AB143" s="10" t="n">
        <v>550000</v>
      </c>
      <c r="AC143" s="10" t="n">
        <v>1</v>
      </c>
    </row>
    <row r="144" customFormat="false" ht="15.75" hidden="true" customHeight="true" outlineLevel="0" collapsed="false">
      <c r="A144" s="6"/>
      <c r="B144" s="7" t="s">
        <v>471</v>
      </c>
      <c r="C144" s="7" t="s">
        <v>31</v>
      </c>
      <c r="D144" s="7" t="s">
        <v>361</v>
      </c>
      <c r="E144" s="7" t="s">
        <v>563</v>
      </c>
      <c r="F144" s="8" t="s">
        <v>553</v>
      </c>
      <c r="G144" s="9" t="n">
        <f aca="false">DATE(2000+VALUE(MID(F144,7,2)),VALUE(MID(F144,4,2)),VALUE(LEFT(F144,2)))</f>
        <v>45458</v>
      </c>
      <c r="H144" s="8" t="s">
        <v>564</v>
      </c>
      <c r="I144" s="9" t="n">
        <f aca="false">DATE(2000+VALUE(MID(H144,7,2)),VALUE(MID(H144,4,2)),VALUE(LEFT(H144,2)))</f>
        <v>45460</v>
      </c>
      <c r="J144" s="9"/>
      <c r="K144" s="10" t="n">
        <v>1230000</v>
      </c>
      <c r="L144" s="10" t="n">
        <v>85000</v>
      </c>
      <c r="M144" s="10" t="n">
        <v>1315000</v>
      </c>
      <c r="N144" s="10" t="n">
        <v>0</v>
      </c>
      <c r="O144" s="10" t="n">
        <v>0</v>
      </c>
      <c r="P144" s="10" t="n">
        <v>0</v>
      </c>
      <c r="Q144" s="10" t="n">
        <v>1315000</v>
      </c>
      <c r="R144" s="10" t="n">
        <v>0</v>
      </c>
      <c r="S144" s="10" t="n">
        <v>0</v>
      </c>
      <c r="T144" s="7"/>
      <c r="U144" s="7"/>
      <c r="V144" s="7"/>
      <c r="W144" s="7" t="s">
        <v>43</v>
      </c>
      <c r="X144" s="7"/>
      <c r="Y144" s="7" t="s">
        <v>37</v>
      </c>
      <c r="Z144" s="7" t="s">
        <v>565</v>
      </c>
      <c r="AA144" s="7"/>
      <c r="AB144" s="10" t="n">
        <v>615000</v>
      </c>
      <c r="AC144" s="10" t="n">
        <v>2</v>
      </c>
    </row>
    <row r="145" customFormat="false" ht="15.75" hidden="true" customHeight="true" outlineLevel="0" collapsed="false">
      <c r="A145" s="6"/>
      <c r="B145" s="7" t="s">
        <v>463</v>
      </c>
      <c r="C145" s="7" t="s">
        <v>71</v>
      </c>
      <c r="D145" s="7" t="s">
        <v>92</v>
      </c>
      <c r="E145" s="7" t="s">
        <v>566</v>
      </c>
      <c r="F145" s="8" t="s">
        <v>567</v>
      </c>
      <c r="G145" s="9" t="n">
        <f aca="false">DATE(2000+VALUE(MID(F145,7,2)),VALUE(MID(F145,4,2)),VALUE(LEFT(F145,2)))</f>
        <v>45460</v>
      </c>
      <c r="H145" s="8" t="s">
        <v>568</v>
      </c>
      <c r="I145" s="9" t="n">
        <f aca="false">DATE(2000+VALUE(MID(H145,7,2)),VALUE(MID(H145,4,2)),VALUE(LEFT(H145,2)))</f>
        <v>45461</v>
      </c>
      <c r="J145" s="9"/>
      <c r="K145" s="10" t="n">
        <v>790000</v>
      </c>
      <c r="L145" s="10" t="n">
        <v>0</v>
      </c>
      <c r="M145" s="10" t="n">
        <v>790000</v>
      </c>
      <c r="N145" s="10" t="n">
        <v>0</v>
      </c>
      <c r="O145" s="10" t="n">
        <v>0</v>
      </c>
      <c r="P145" s="10" t="n">
        <v>0</v>
      </c>
      <c r="Q145" s="10" t="n">
        <v>790000</v>
      </c>
      <c r="R145" s="10" t="n">
        <v>0</v>
      </c>
      <c r="S145" s="10" t="n">
        <v>0</v>
      </c>
      <c r="T145" s="7"/>
      <c r="U145" s="7"/>
      <c r="V145" s="7"/>
      <c r="W145" s="7" t="s">
        <v>43</v>
      </c>
      <c r="X145" s="7"/>
      <c r="Y145" s="7" t="s">
        <v>37</v>
      </c>
      <c r="Z145" s="7" t="s">
        <v>569</v>
      </c>
      <c r="AA145" s="7"/>
      <c r="AB145" s="10" t="n">
        <v>790000</v>
      </c>
      <c r="AC145" s="10" t="n">
        <v>1</v>
      </c>
    </row>
    <row r="146" customFormat="false" ht="15.75" hidden="true" customHeight="true" outlineLevel="0" collapsed="false">
      <c r="A146" s="6"/>
      <c r="B146" s="7" t="s">
        <v>463</v>
      </c>
      <c r="C146" s="7" t="s">
        <v>31</v>
      </c>
      <c r="D146" s="7" t="s">
        <v>32</v>
      </c>
      <c r="E146" s="7" t="s">
        <v>566</v>
      </c>
      <c r="F146" s="8" t="s">
        <v>567</v>
      </c>
      <c r="G146" s="9" t="n">
        <f aca="false">DATE(2000+VALUE(MID(F146,7,2)),VALUE(MID(F146,4,2)),VALUE(LEFT(F146,2)))</f>
        <v>45460</v>
      </c>
      <c r="H146" s="8" t="s">
        <v>568</v>
      </c>
      <c r="I146" s="9" t="n">
        <f aca="false">DATE(2000+VALUE(MID(H146,7,2)),VALUE(MID(H146,4,2)),VALUE(LEFT(H146,2)))</f>
        <v>45461</v>
      </c>
      <c r="J146" s="9"/>
      <c r="K146" s="10" t="n">
        <v>970000</v>
      </c>
      <c r="L146" s="10" t="n">
        <v>0</v>
      </c>
      <c r="M146" s="10" t="n">
        <v>970000</v>
      </c>
      <c r="N146" s="10" t="n">
        <v>0</v>
      </c>
      <c r="O146" s="10" t="n">
        <v>0</v>
      </c>
      <c r="P146" s="10" t="n">
        <v>0</v>
      </c>
      <c r="Q146" s="10" t="n">
        <v>970000</v>
      </c>
      <c r="R146" s="10" t="n">
        <v>0</v>
      </c>
      <c r="S146" s="10" t="n">
        <v>0</v>
      </c>
      <c r="T146" s="7"/>
      <c r="U146" s="7"/>
      <c r="V146" s="7"/>
      <c r="W146" s="7" t="s">
        <v>43</v>
      </c>
      <c r="X146" s="7"/>
      <c r="Y146" s="7" t="s">
        <v>37</v>
      </c>
      <c r="Z146" s="7" t="s">
        <v>570</v>
      </c>
      <c r="AA146" s="7"/>
      <c r="AB146" s="10" t="n">
        <v>970000</v>
      </c>
      <c r="AC146" s="10" t="n">
        <v>1</v>
      </c>
    </row>
    <row r="147" customFormat="false" ht="15.75" hidden="true" customHeight="true" outlineLevel="0" collapsed="false">
      <c r="A147" s="6"/>
      <c r="B147" s="7" t="s">
        <v>515</v>
      </c>
      <c r="C147" s="7" t="s">
        <v>71</v>
      </c>
      <c r="D147" s="7" t="s">
        <v>72</v>
      </c>
      <c r="E147" s="7" t="s">
        <v>529</v>
      </c>
      <c r="F147" s="8" t="s">
        <v>530</v>
      </c>
      <c r="G147" s="9" t="n">
        <f aca="false">DATE(2000+VALUE(MID(F147,7,2)),VALUE(MID(F147,4,2)),VALUE(LEFT(F147,2)))</f>
        <v>45457</v>
      </c>
      <c r="H147" s="8" t="s">
        <v>571</v>
      </c>
      <c r="I147" s="9" t="n">
        <f aca="false">DATE(2000+VALUE(MID(H147,7,2)),VALUE(MID(H147,4,2)),VALUE(LEFT(H147,2)))</f>
        <v>45461</v>
      </c>
      <c r="J147" s="9"/>
      <c r="K147" s="10" t="n">
        <v>2200000</v>
      </c>
      <c r="L147" s="10" t="n">
        <v>200000</v>
      </c>
      <c r="M147" s="10" t="n">
        <v>2400000</v>
      </c>
      <c r="N147" s="10" t="n">
        <v>0</v>
      </c>
      <c r="O147" s="10" t="n">
        <v>200000</v>
      </c>
      <c r="P147" s="10" t="n">
        <v>0</v>
      </c>
      <c r="Q147" s="10" t="n">
        <v>2200000</v>
      </c>
      <c r="R147" s="10" t="n">
        <v>0</v>
      </c>
      <c r="S147" s="10" t="n">
        <v>0</v>
      </c>
      <c r="T147" s="7"/>
      <c r="U147" s="7"/>
      <c r="V147" s="7"/>
      <c r="W147" s="7" t="s">
        <v>43</v>
      </c>
      <c r="X147" s="7"/>
      <c r="Y147" s="7" t="s">
        <v>37</v>
      </c>
      <c r="Z147" s="7" t="s">
        <v>572</v>
      </c>
      <c r="AA147" s="7"/>
      <c r="AB147" s="10" t="n">
        <v>550000</v>
      </c>
      <c r="AC147" s="10" t="n">
        <v>4</v>
      </c>
    </row>
    <row r="148" customFormat="false" ht="15.75" hidden="true" customHeight="true" outlineLevel="0" collapsed="false">
      <c r="A148" s="6"/>
      <c r="B148" s="7" t="s">
        <v>573</v>
      </c>
      <c r="C148" s="7" t="s">
        <v>65</v>
      </c>
      <c r="D148" s="7" t="s">
        <v>82</v>
      </c>
      <c r="E148" s="7" t="s">
        <v>574</v>
      </c>
      <c r="F148" s="8" t="s">
        <v>575</v>
      </c>
      <c r="G148" s="9" t="n">
        <f aca="false">DATE(2000+VALUE(MID(F148,7,2)),VALUE(MID(F148,4,2)),VALUE(LEFT(F148,2)))</f>
        <v>45456</v>
      </c>
      <c r="H148" s="8" t="s">
        <v>576</v>
      </c>
      <c r="I148" s="9" t="n">
        <f aca="false">DATE(2000+VALUE(MID(H148,7,2)),VALUE(MID(H148,4,2)),VALUE(LEFT(H148,2)))</f>
        <v>45461</v>
      </c>
      <c r="J148" s="9"/>
      <c r="K148" s="10" t="n">
        <v>2835000</v>
      </c>
      <c r="L148" s="10" t="n">
        <v>399000</v>
      </c>
      <c r="M148" s="10" t="n">
        <v>3234000</v>
      </c>
      <c r="N148" s="10" t="n">
        <v>0</v>
      </c>
      <c r="O148" s="10" t="n">
        <v>5779000</v>
      </c>
      <c r="P148" s="10" t="n">
        <v>0</v>
      </c>
      <c r="Q148" s="10" t="n">
        <v>500000</v>
      </c>
      <c r="R148" s="10" t="n">
        <v>0</v>
      </c>
      <c r="S148" s="10" t="n">
        <v>-3045000</v>
      </c>
      <c r="T148" s="7"/>
      <c r="U148" s="7"/>
      <c r="V148" s="7"/>
      <c r="W148" s="7" t="s">
        <v>43</v>
      </c>
      <c r="X148" s="7"/>
      <c r="Y148" s="7" t="s">
        <v>37</v>
      </c>
      <c r="Z148" s="7" t="s">
        <v>577</v>
      </c>
      <c r="AA148" s="7"/>
      <c r="AB148" s="10" t="n">
        <v>567000</v>
      </c>
      <c r="AC148" s="10" t="n">
        <v>5</v>
      </c>
    </row>
    <row r="149" customFormat="false" ht="15.75" hidden="true" customHeight="true" outlineLevel="0" collapsed="false">
      <c r="A149" s="6"/>
      <c r="B149" s="7" t="s">
        <v>573</v>
      </c>
      <c r="C149" s="7" t="s">
        <v>60</v>
      </c>
      <c r="D149" s="7" t="s">
        <v>116</v>
      </c>
      <c r="E149" s="7" t="s">
        <v>578</v>
      </c>
      <c r="F149" s="8" t="s">
        <v>575</v>
      </c>
      <c r="G149" s="9" t="n">
        <f aca="false">DATE(2000+VALUE(MID(F149,7,2)),VALUE(MID(F149,4,2)),VALUE(LEFT(F149,2)))</f>
        <v>45456</v>
      </c>
      <c r="H149" s="8" t="s">
        <v>576</v>
      </c>
      <c r="I149" s="9" t="n">
        <f aca="false">DATE(2000+VALUE(MID(H149,7,2)),VALUE(MID(H149,4,2)),VALUE(LEFT(H149,2)))</f>
        <v>45461</v>
      </c>
      <c r="J149" s="9"/>
      <c r="K149" s="10" t="n">
        <v>3325000</v>
      </c>
      <c r="L149" s="10" t="n">
        <v>0</v>
      </c>
      <c r="M149" s="10" t="n">
        <v>3325000</v>
      </c>
      <c r="N149" s="10" t="n">
        <v>0</v>
      </c>
      <c r="O149" s="10" t="n">
        <v>280000</v>
      </c>
      <c r="P149" s="10" t="n">
        <v>0</v>
      </c>
      <c r="Q149" s="10" t="n">
        <v>0</v>
      </c>
      <c r="R149" s="10" t="n">
        <v>0</v>
      </c>
      <c r="S149" s="10" t="n">
        <v>3045000</v>
      </c>
      <c r="T149" s="7"/>
      <c r="U149" s="7"/>
      <c r="V149" s="7"/>
      <c r="W149" s="7" t="s">
        <v>43</v>
      </c>
      <c r="X149" s="7"/>
      <c r="Y149" s="7" t="s">
        <v>37</v>
      </c>
      <c r="Z149" s="7" t="s">
        <v>579</v>
      </c>
      <c r="AA149" s="7"/>
      <c r="AB149" s="10" t="n">
        <v>665000</v>
      </c>
      <c r="AC149" s="10" t="n">
        <v>5</v>
      </c>
    </row>
    <row r="150" customFormat="false" ht="15.75" hidden="true" customHeight="true" outlineLevel="0" collapsed="false">
      <c r="A150" s="6"/>
      <c r="B150" s="7" t="s">
        <v>546</v>
      </c>
      <c r="C150" s="7" t="s">
        <v>60</v>
      </c>
      <c r="D150" s="7" t="s">
        <v>61</v>
      </c>
      <c r="E150" s="7" t="s">
        <v>580</v>
      </c>
      <c r="F150" s="8" t="s">
        <v>581</v>
      </c>
      <c r="G150" s="9" t="n">
        <f aca="false">DATE(2000+VALUE(MID(F150,7,2)),VALUE(MID(F150,4,2)),VALUE(LEFT(F150,2)))</f>
        <v>45461</v>
      </c>
      <c r="H150" s="8" t="s">
        <v>582</v>
      </c>
      <c r="I150" s="9" t="n">
        <f aca="false">DATE(2000+VALUE(MID(H150,7,2)),VALUE(MID(H150,4,2)),VALUE(LEFT(H150,2)))</f>
        <v>45461</v>
      </c>
      <c r="J150" s="9"/>
      <c r="K150" s="10" t="n">
        <v>989000</v>
      </c>
      <c r="L150" s="10" t="n">
        <v>0</v>
      </c>
      <c r="M150" s="10" t="n">
        <v>989000</v>
      </c>
      <c r="N150" s="10" t="n">
        <v>0</v>
      </c>
      <c r="O150" s="10" t="n">
        <v>350000</v>
      </c>
      <c r="P150" s="10" t="n">
        <v>0</v>
      </c>
      <c r="Q150" s="10" t="n">
        <v>639000</v>
      </c>
      <c r="R150" s="10" t="n">
        <v>0</v>
      </c>
      <c r="S150" s="10" t="n">
        <v>0</v>
      </c>
      <c r="T150" s="7"/>
      <c r="U150" s="7"/>
      <c r="V150" s="7"/>
      <c r="W150" s="7" t="s">
        <v>43</v>
      </c>
      <c r="X150" s="7"/>
      <c r="Y150" s="7" t="s">
        <v>37</v>
      </c>
      <c r="Z150" s="7" t="s">
        <v>583</v>
      </c>
      <c r="AA150" s="7"/>
      <c r="AB150" s="10" t="n">
        <v>989000</v>
      </c>
      <c r="AC150" s="10" t="n">
        <v>1</v>
      </c>
    </row>
    <row r="151" customFormat="false" ht="15.75" hidden="true" customHeight="true" outlineLevel="0" collapsed="false">
      <c r="A151" s="6"/>
      <c r="B151" s="7" t="s">
        <v>496</v>
      </c>
      <c r="C151" s="7" t="s">
        <v>31</v>
      </c>
      <c r="D151" s="7" t="s">
        <v>32</v>
      </c>
      <c r="E151" s="7" t="s">
        <v>584</v>
      </c>
      <c r="F151" s="8" t="s">
        <v>585</v>
      </c>
      <c r="G151" s="9" t="n">
        <f aca="false">DATE(2000+VALUE(MID(F151,7,2)),VALUE(MID(F151,4,2)),VALUE(LEFT(F151,2)))</f>
        <v>45461</v>
      </c>
      <c r="H151" s="8" t="s">
        <v>586</v>
      </c>
      <c r="I151" s="9" t="n">
        <f aca="false">DATE(2000+VALUE(MID(H151,7,2)),VALUE(MID(H151,4,2)),VALUE(LEFT(H151,2)))</f>
        <v>45461</v>
      </c>
      <c r="J151" s="9"/>
      <c r="K151" s="10" t="n">
        <v>449000</v>
      </c>
      <c r="L151" s="10" t="n">
        <v>0</v>
      </c>
      <c r="M151" s="10" t="n">
        <v>449000</v>
      </c>
      <c r="N151" s="10" t="n">
        <v>0</v>
      </c>
      <c r="O151" s="10" t="n">
        <v>0</v>
      </c>
      <c r="P151" s="10" t="n">
        <v>0</v>
      </c>
      <c r="Q151" s="10" t="n">
        <v>449000</v>
      </c>
      <c r="R151" s="10" t="n">
        <v>0</v>
      </c>
      <c r="S151" s="10" t="n">
        <v>0</v>
      </c>
      <c r="T151" s="7"/>
      <c r="U151" s="7"/>
      <c r="V151" s="7"/>
      <c r="W151" s="7" t="s">
        <v>43</v>
      </c>
      <c r="X151" s="7"/>
      <c r="Y151" s="7" t="s">
        <v>37</v>
      </c>
      <c r="Z151" s="7" t="s">
        <v>587</v>
      </c>
      <c r="AA151" s="7"/>
      <c r="AB151" s="10" t="n">
        <v>449000</v>
      </c>
      <c r="AC151" s="10" t="n">
        <v>1</v>
      </c>
    </row>
    <row r="152" customFormat="false" ht="15.75" hidden="true" customHeight="true" outlineLevel="0" collapsed="false">
      <c r="A152" s="6"/>
      <c r="B152" s="7" t="s">
        <v>507</v>
      </c>
      <c r="C152" s="7" t="s">
        <v>65</v>
      </c>
      <c r="D152" s="7" t="s">
        <v>66</v>
      </c>
      <c r="E152" s="7" t="s">
        <v>588</v>
      </c>
      <c r="F152" s="8" t="s">
        <v>589</v>
      </c>
      <c r="G152" s="9" t="n">
        <f aca="false">DATE(2000+VALUE(MID(F152,7,2)),VALUE(MID(F152,4,2)),VALUE(LEFT(F152,2)))</f>
        <v>45462</v>
      </c>
      <c r="H152" s="8" t="s">
        <v>590</v>
      </c>
      <c r="I152" s="9" t="n">
        <f aca="false">DATE(2000+VALUE(MID(H152,7,2)),VALUE(MID(H152,4,2)),VALUE(LEFT(H152,2)))</f>
        <v>45462</v>
      </c>
      <c r="J152" s="9"/>
      <c r="K152" s="10" t="n">
        <v>450000</v>
      </c>
      <c r="L152" s="10" t="n">
        <v>0</v>
      </c>
      <c r="M152" s="10" t="n">
        <v>450000</v>
      </c>
      <c r="N152" s="10" t="n">
        <v>0</v>
      </c>
      <c r="O152" s="10" t="n">
        <v>0</v>
      </c>
      <c r="P152" s="10" t="n">
        <v>0</v>
      </c>
      <c r="Q152" s="10" t="n">
        <v>450000</v>
      </c>
      <c r="R152" s="10" t="n">
        <v>0</v>
      </c>
      <c r="S152" s="10" t="n">
        <v>0</v>
      </c>
      <c r="T152" s="7"/>
      <c r="U152" s="7"/>
      <c r="V152" s="7"/>
      <c r="W152" s="7" t="s">
        <v>43</v>
      </c>
      <c r="X152" s="7"/>
      <c r="Y152" s="7" t="s">
        <v>37</v>
      </c>
      <c r="Z152" s="7" t="s">
        <v>591</v>
      </c>
      <c r="AA152" s="7"/>
      <c r="AB152" s="10" t="n">
        <v>450000</v>
      </c>
      <c r="AC152" s="10" t="n">
        <v>1</v>
      </c>
    </row>
    <row r="153" customFormat="false" ht="15.75" hidden="true" customHeight="true" outlineLevel="0" collapsed="false">
      <c r="A153" s="6"/>
      <c r="B153" s="7" t="s">
        <v>592</v>
      </c>
      <c r="C153" s="7" t="s">
        <v>65</v>
      </c>
      <c r="D153" s="7" t="s">
        <v>87</v>
      </c>
      <c r="E153" s="7" t="s">
        <v>593</v>
      </c>
      <c r="F153" s="8" t="s">
        <v>594</v>
      </c>
      <c r="G153" s="9" t="n">
        <f aca="false">DATE(2000+VALUE(MID(F153,7,2)),VALUE(MID(F153,4,2)),VALUE(LEFT(F153,2)))</f>
        <v>45460</v>
      </c>
      <c r="H153" s="8" t="s">
        <v>595</v>
      </c>
      <c r="I153" s="9" t="n">
        <f aca="false">DATE(2000+VALUE(MID(H153,7,2)),VALUE(MID(H153,4,2)),VALUE(LEFT(H153,2)))</f>
        <v>45462</v>
      </c>
      <c r="J153" s="9"/>
      <c r="K153" s="10" t="n">
        <v>889920</v>
      </c>
      <c r="L153" s="10" t="n">
        <v>0</v>
      </c>
      <c r="M153" s="10" t="n">
        <v>889920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889920</v>
      </c>
      <c r="S153" s="10" t="n">
        <v>0</v>
      </c>
      <c r="T153" s="7"/>
      <c r="U153" s="7"/>
      <c r="V153" s="7"/>
      <c r="W153" s="7" t="s">
        <v>49</v>
      </c>
      <c r="X153" s="7"/>
      <c r="Y153" s="7" t="s">
        <v>37</v>
      </c>
      <c r="Z153" s="7" t="s">
        <v>596</v>
      </c>
      <c r="AA153" s="7" t="s">
        <v>597</v>
      </c>
      <c r="AB153" s="10" t="n">
        <v>444960</v>
      </c>
      <c r="AC153" s="10" t="n">
        <v>2</v>
      </c>
    </row>
    <row r="154" customFormat="false" ht="15.75" hidden="true" customHeight="true" outlineLevel="0" collapsed="false">
      <c r="A154" s="6"/>
      <c r="B154" s="7" t="s">
        <v>488</v>
      </c>
      <c r="C154" s="7" t="s">
        <v>65</v>
      </c>
      <c r="D154" s="7" t="s">
        <v>96</v>
      </c>
      <c r="E154" s="7" t="s">
        <v>598</v>
      </c>
      <c r="F154" s="8" t="s">
        <v>599</v>
      </c>
      <c r="G154" s="9" t="n">
        <f aca="false">DATE(2000+VALUE(MID(F154,7,2)),VALUE(MID(F154,4,2)),VALUE(LEFT(F154,2)))</f>
        <v>45462</v>
      </c>
      <c r="H154" s="8" t="s">
        <v>600</v>
      </c>
      <c r="I154" s="9" t="n">
        <f aca="false">DATE(2000+VALUE(MID(H154,7,2)),VALUE(MID(H154,4,2)),VALUE(LEFT(H154,2)))</f>
        <v>45463</v>
      </c>
      <c r="J154" s="9"/>
      <c r="K154" s="10" t="n">
        <v>495000</v>
      </c>
      <c r="L154" s="10" t="n">
        <v>0</v>
      </c>
      <c r="M154" s="10" t="n">
        <v>495000</v>
      </c>
      <c r="N154" s="10" t="n">
        <v>0</v>
      </c>
      <c r="O154" s="10" t="n">
        <v>0</v>
      </c>
      <c r="P154" s="10" t="n">
        <v>0</v>
      </c>
      <c r="Q154" s="10" t="n">
        <v>495000</v>
      </c>
      <c r="R154" s="10" t="n">
        <v>0</v>
      </c>
      <c r="S154" s="10" t="n">
        <v>0</v>
      </c>
      <c r="T154" s="7"/>
      <c r="U154" s="7"/>
      <c r="V154" s="7"/>
      <c r="W154" s="7" t="s">
        <v>43</v>
      </c>
      <c r="X154" s="7"/>
      <c r="Y154" s="7" t="s">
        <v>37</v>
      </c>
      <c r="Z154" s="7" t="s">
        <v>601</v>
      </c>
      <c r="AA154" s="7"/>
      <c r="AB154" s="10" t="n">
        <v>495000</v>
      </c>
      <c r="AC154" s="10" t="n">
        <v>1</v>
      </c>
    </row>
    <row r="155" customFormat="false" ht="15.75" hidden="true" customHeight="true" outlineLevel="0" collapsed="false">
      <c r="A155" s="6"/>
      <c r="B155" s="7" t="s">
        <v>436</v>
      </c>
      <c r="C155" s="7" t="s">
        <v>65</v>
      </c>
      <c r="D155" s="7" t="s">
        <v>76</v>
      </c>
      <c r="E155" s="7" t="s">
        <v>602</v>
      </c>
      <c r="F155" s="8" t="s">
        <v>603</v>
      </c>
      <c r="G155" s="9" t="n">
        <f aca="false">DATE(2000+VALUE(MID(F155,7,2)),VALUE(MID(F155,4,2)),VALUE(LEFT(F155,2)))</f>
        <v>45460</v>
      </c>
      <c r="H155" s="8" t="s">
        <v>604</v>
      </c>
      <c r="I155" s="9" t="n">
        <f aca="false">DATE(2000+VALUE(MID(H155,7,2)),VALUE(MID(H155,4,2)),VALUE(LEFT(H155,2)))</f>
        <v>45463</v>
      </c>
      <c r="J155" s="9"/>
      <c r="K155" s="10" t="n">
        <v>1727000</v>
      </c>
      <c r="L155" s="10" t="n">
        <v>0</v>
      </c>
      <c r="M155" s="10" t="n">
        <v>1562300</v>
      </c>
      <c r="N155" s="10" t="n">
        <v>0</v>
      </c>
      <c r="O155" s="10" t="n">
        <v>1562300</v>
      </c>
      <c r="P155" s="10" t="n">
        <v>0</v>
      </c>
      <c r="Q155" s="10" t="n">
        <v>0</v>
      </c>
      <c r="R155" s="10" t="n">
        <v>0</v>
      </c>
      <c r="S155" s="10" t="n">
        <v>0</v>
      </c>
      <c r="T155" s="7"/>
      <c r="U155" s="7"/>
      <c r="V155" s="7"/>
      <c r="W155" s="7" t="s">
        <v>49</v>
      </c>
      <c r="X155" s="7"/>
      <c r="Y155" s="7" t="s">
        <v>37</v>
      </c>
      <c r="Z155" s="7" t="s">
        <v>480</v>
      </c>
      <c r="AA155" s="7" t="s">
        <v>605</v>
      </c>
      <c r="AB155" s="10" t="n">
        <v>575666.6666</v>
      </c>
      <c r="AC155" s="10" t="n">
        <v>3</v>
      </c>
    </row>
    <row r="156" customFormat="false" ht="15.75" hidden="true" customHeight="true" outlineLevel="0" collapsed="false">
      <c r="A156" s="6"/>
      <c r="B156" s="7" t="s">
        <v>436</v>
      </c>
      <c r="C156" s="7" t="s">
        <v>31</v>
      </c>
      <c r="D156" s="7" t="s">
        <v>45</v>
      </c>
      <c r="E156" s="7" t="s">
        <v>606</v>
      </c>
      <c r="F156" s="8" t="s">
        <v>603</v>
      </c>
      <c r="G156" s="9" t="n">
        <f aca="false">DATE(2000+VALUE(MID(F156,7,2)),VALUE(MID(F156,4,2)),VALUE(LEFT(F156,2)))</f>
        <v>45460</v>
      </c>
      <c r="H156" s="8" t="s">
        <v>604</v>
      </c>
      <c r="I156" s="9" t="n">
        <f aca="false">DATE(2000+VALUE(MID(H156,7,2)),VALUE(MID(H156,4,2)),VALUE(LEFT(H156,2)))</f>
        <v>45463</v>
      </c>
      <c r="J156" s="9"/>
      <c r="K156" s="10" t="n">
        <v>2507000</v>
      </c>
      <c r="L156" s="10" t="n">
        <v>0</v>
      </c>
      <c r="M156" s="10" t="n">
        <v>2342300</v>
      </c>
      <c r="N156" s="10" t="n">
        <v>0</v>
      </c>
      <c r="O156" s="10" t="n">
        <v>860000</v>
      </c>
      <c r="P156" s="10" t="n">
        <v>0</v>
      </c>
      <c r="Q156" s="10" t="n">
        <v>1482300</v>
      </c>
      <c r="R156" s="10" t="n">
        <v>0</v>
      </c>
      <c r="S156" s="10" t="n">
        <v>0</v>
      </c>
      <c r="T156" s="7"/>
      <c r="U156" s="7"/>
      <c r="V156" s="7"/>
      <c r="W156" s="7" t="s">
        <v>49</v>
      </c>
      <c r="X156" s="7"/>
      <c r="Y156" s="7" t="s">
        <v>37</v>
      </c>
      <c r="Z156" s="7" t="s">
        <v>511</v>
      </c>
      <c r="AA156" s="7" t="s">
        <v>605</v>
      </c>
      <c r="AB156" s="10" t="n">
        <v>835666.6666</v>
      </c>
      <c r="AC156" s="10" t="n">
        <v>3</v>
      </c>
    </row>
    <row r="157" customFormat="false" ht="15.75" hidden="true" customHeight="true" outlineLevel="0" collapsed="false">
      <c r="A157" s="6"/>
      <c r="B157" s="7" t="s">
        <v>436</v>
      </c>
      <c r="C157" s="7" t="s">
        <v>31</v>
      </c>
      <c r="D157" s="7" t="s">
        <v>39</v>
      </c>
      <c r="E157" s="7"/>
      <c r="F157" s="8" t="s">
        <v>603</v>
      </c>
      <c r="G157" s="9" t="n">
        <f aca="false">DATE(2000+VALUE(MID(F157,7,2)),VALUE(MID(F157,4,2)),VALUE(LEFT(F157,2)))</f>
        <v>45460</v>
      </c>
      <c r="H157" s="8" t="s">
        <v>604</v>
      </c>
      <c r="I157" s="9" t="n">
        <f aca="false">DATE(2000+VALUE(MID(H157,7,2)),VALUE(MID(H157,4,2)),VALUE(LEFT(H157,2)))</f>
        <v>45463</v>
      </c>
      <c r="J157" s="9"/>
      <c r="K157" s="10" t="n">
        <v>2507000</v>
      </c>
      <c r="L157" s="10" t="n">
        <v>0</v>
      </c>
      <c r="M157" s="10" t="n">
        <v>2342300</v>
      </c>
      <c r="N157" s="10" t="n">
        <v>0</v>
      </c>
      <c r="O157" s="10" t="n">
        <v>1624300</v>
      </c>
      <c r="P157" s="10" t="n">
        <v>0</v>
      </c>
      <c r="Q157" s="10" t="n">
        <v>718000</v>
      </c>
      <c r="R157" s="10" t="n">
        <v>0</v>
      </c>
      <c r="S157" s="10" t="n">
        <v>0</v>
      </c>
      <c r="T157" s="7"/>
      <c r="U157" s="7"/>
      <c r="V157" s="7"/>
      <c r="W157" s="7" t="s">
        <v>49</v>
      </c>
      <c r="X157" s="7"/>
      <c r="Y157" s="7" t="s">
        <v>37</v>
      </c>
      <c r="Z157" s="7" t="s">
        <v>548</v>
      </c>
      <c r="AA157" s="7" t="s">
        <v>605</v>
      </c>
      <c r="AB157" s="10" t="n">
        <v>835666.6666</v>
      </c>
      <c r="AC157" s="10" t="n">
        <v>3</v>
      </c>
    </row>
    <row r="158" customFormat="false" ht="15.75" hidden="true" customHeight="true" outlineLevel="0" collapsed="false">
      <c r="A158" s="6"/>
      <c r="B158" s="7" t="s">
        <v>510</v>
      </c>
      <c r="C158" s="7" t="s">
        <v>65</v>
      </c>
      <c r="D158" s="7" t="s">
        <v>82</v>
      </c>
      <c r="E158" s="7" t="s">
        <v>607</v>
      </c>
      <c r="F158" s="8" t="s">
        <v>608</v>
      </c>
      <c r="G158" s="9" t="n">
        <f aca="false">DATE(2000+VALUE(MID(F158,7,2)),VALUE(MID(F158,4,2)),VALUE(LEFT(F158,2)))</f>
        <v>45462</v>
      </c>
      <c r="H158" s="8" t="s">
        <v>609</v>
      </c>
      <c r="I158" s="9" t="n">
        <f aca="false">DATE(2000+VALUE(MID(H158,7,2)),VALUE(MID(H158,4,2)),VALUE(LEFT(H158,2)))</f>
        <v>45464</v>
      </c>
      <c r="J158" s="9"/>
      <c r="K158" s="10" t="n">
        <v>1000000</v>
      </c>
      <c r="L158" s="10" t="n">
        <v>0</v>
      </c>
      <c r="M158" s="10" t="n">
        <v>1000000</v>
      </c>
      <c r="N158" s="10" t="n">
        <v>0</v>
      </c>
      <c r="O158" s="10" t="n">
        <v>500000</v>
      </c>
      <c r="P158" s="10" t="n">
        <v>0</v>
      </c>
      <c r="Q158" s="10" t="n">
        <v>500000</v>
      </c>
      <c r="R158" s="10" t="n">
        <v>0</v>
      </c>
      <c r="S158" s="10" t="n">
        <v>0</v>
      </c>
      <c r="T158" s="7"/>
      <c r="U158" s="7"/>
      <c r="V158" s="7"/>
      <c r="W158" s="7" t="s">
        <v>43</v>
      </c>
      <c r="X158" s="7"/>
      <c r="Y158" s="7" t="s">
        <v>37</v>
      </c>
      <c r="Z158" s="7" t="s">
        <v>610</v>
      </c>
      <c r="AA158" s="7"/>
      <c r="AB158" s="10" t="n">
        <v>500000</v>
      </c>
      <c r="AC158" s="10" t="n">
        <v>2</v>
      </c>
    </row>
    <row r="159" customFormat="false" ht="15.75" hidden="true" customHeight="true" outlineLevel="0" collapsed="false">
      <c r="A159" s="6"/>
      <c r="B159" s="7" t="s">
        <v>493</v>
      </c>
      <c r="C159" s="7" t="s">
        <v>65</v>
      </c>
      <c r="D159" s="7" t="s">
        <v>96</v>
      </c>
      <c r="E159" s="7" t="s">
        <v>611</v>
      </c>
      <c r="F159" s="8" t="s">
        <v>612</v>
      </c>
      <c r="G159" s="9" t="n">
        <f aca="false">DATE(2000+VALUE(MID(F159,7,2)),VALUE(MID(F159,4,2)),VALUE(LEFT(F159,2)))</f>
        <v>45463</v>
      </c>
      <c r="H159" s="8" t="s">
        <v>613</v>
      </c>
      <c r="I159" s="9" t="n">
        <f aca="false">DATE(2000+VALUE(MID(H159,7,2)),VALUE(MID(H159,4,2)),VALUE(LEFT(H159,2)))</f>
        <v>45464</v>
      </c>
      <c r="J159" s="9"/>
      <c r="K159" s="10" t="n">
        <v>1496160</v>
      </c>
      <c r="L159" s="10" t="n">
        <v>0</v>
      </c>
      <c r="M159" s="10" t="n">
        <v>1496160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1496160</v>
      </c>
      <c r="S159" s="10" t="n">
        <v>0</v>
      </c>
      <c r="T159" s="7"/>
      <c r="U159" s="7"/>
      <c r="V159" s="7"/>
      <c r="W159" s="7" t="s">
        <v>49</v>
      </c>
      <c r="X159" s="7"/>
      <c r="Y159" s="7" t="s">
        <v>37</v>
      </c>
      <c r="Z159" s="7" t="s">
        <v>614</v>
      </c>
      <c r="AA159" s="7" t="s">
        <v>615</v>
      </c>
      <c r="AB159" s="10" t="n">
        <v>1496160</v>
      </c>
      <c r="AC159" s="10" t="n">
        <v>1</v>
      </c>
    </row>
    <row r="160" customFormat="false" ht="15.75" hidden="true" customHeight="true" outlineLevel="0" collapsed="false">
      <c r="A160" s="6"/>
      <c r="B160" s="7" t="s">
        <v>524</v>
      </c>
      <c r="C160" s="7" t="s">
        <v>60</v>
      </c>
      <c r="D160" s="7" t="s">
        <v>164</v>
      </c>
      <c r="E160" s="7" t="s">
        <v>611</v>
      </c>
      <c r="F160" s="8" t="s">
        <v>612</v>
      </c>
      <c r="G160" s="9" t="n">
        <f aca="false">DATE(2000+VALUE(MID(F160,7,2)),VALUE(MID(F160,4,2)),VALUE(LEFT(F160,2)))</f>
        <v>45463</v>
      </c>
      <c r="H160" s="8" t="s">
        <v>613</v>
      </c>
      <c r="I160" s="9" t="n">
        <f aca="false">DATE(2000+VALUE(MID(H160,7,2)),VALUE(MID(H160,4,2)),VALUE(LEFT(H160,2)))</f>
        <v>45464</v>
      </c>
      <c r="J160" s="9"/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7"/>
      <c r="U160" s="7"/>
      <c r="V160" s="7"/>
      <c r="W160" s="7" t="s">
        <v>43</v>
      </c>
      <c r="X160" s="7"/>
      <c r="Y160" s="7" t="s">
        <v>37</v>
      </c>
      <c r="Z160" s="7" t="s">
        <v>616</v>
      </c>
      <c r="AA160" s="7"/>
      <c r="AB160" s="10" t="n">
        <v>0</v>
      </c>
      <c r="AC160" s="10" t="n">
        <v>1</v>
      </c>
    </row>
    <row r="161" customFormat="false" ht="15.75" hidden="true" customHeight="true" outlineLevel="0" collapsed="false">
      <c r="A161" s="6"/>
      <c r="B161" s="7" t="s">
        <v>532</v>
      </c>
      <c r="C161" s="7" t="s">
        <v>60</v>
      </c>
      <c r="D161" s="7" t="s">
        <v>116</v>
      </c>
      <c r="E161" s="7" t="s">
        <v>617</v>
      </c>
      <c r="F161" s="8" t="s">
        <v>618</v>
      </c>
      <c r="G161" s="9" t="n">
        <f aca="false">DATE(2000+VALUE(MID(F161,7,2)),VALUE(MID(F161,4,2)),VALUE(LEFT(F161,2)))</f>
        <v>45463</v>
      </c>
      <c r="H161" s="8" t="s">
        <v>619</v>
      </c>
      <c r="I161" s="9" t="n">
        <f aca="false">DATE(2000+VALUE(MID(H161,7,2)),VALUE(MID(H161,4,2)),VALUE(LEFT(H161,2)))</f>
        <v>45464</v>
      </c>
      <c r="J161" s="9"/>
      <c r="K161" s="10" t="n">
        <v>585000</v>
      </c>
      <c r="L161" s="10" t="n">
        <v>200000</v>
      </c>
      <c r="M161" s="10" t="n">
        <v>785000</v>
      </c>
      <c r="N161" s="10" t="n">
        <v>0</v>
      </c>
      <c r="O161" s="10" t="n">
        <v>0</v>
      </c>
      <c r="P161" s="10" t="n">
        <v>0</v>
      </c>
      <c r="Q161" s="10" t="n">
        <v>785000</v>
      </c>
      <c r="R161" s="10" t="n">
        <v>0</v>
      </c>
      <c r="S161" s="10" t="n">
        <v>0</v>
      </c>
      <c r="T161" s="7"/>
      <c r="U161" s="7"/>
      <c r="V161" s="7"/>
      <c r="W161" s="7" t="s">
        <v>43</v>
      </c>
      <c r="X161" s="7"/>
      <c r="Y161" s="7" t="s">
        <v>37</v>
      </c>
      <c r="Z161" s="7" t="s">
        <v>620</v>
      </c>
      <c r="AA161" s="7"/>
      <c r="AB161" s="10" t="n">
        <v>585000</v>
      </c>
      <c r="AC161" s="10" t="n">
        <v>1</v>
      </c>
    </row>
    <row r="162" customFormat="false" ht="15.75" hidden="true" customHeight="true" outlineLevel="0" collapsed="false">
      <c r="A162" s="6"/>
      <c r="B162" s="7" t="s">
        <v>520</v>
      </c>
      <c r="C162" s="7" t="s">
        <v>71</v>
      </c>
      <c r="D162" s="7" t="s">
        <v>92</v>
      </c>
      <c r="E162" s="7" t="s">
        <v>621</v>
      </c>
      <c r="F162" s="8" t="s">
        <v>622</v>
      </c>
      <c r="G162" s="9" t="n">
        <f aca="false">DATE(2000+VALUE(MID(F162,7,2)),VALUE(MID(F162,4,2)),VALUE(LEFT(F162,2)))</f>
        <v>45463</v>
      </c>
      <c r="H162" s="8" t="s">
        <v>623</v>
      </c>
      <c r="I162" s="9" t="n">
        <f aca="false">DATE(2000+VALUE(MID(H162,7,2)),VALUE(MID(H162,4,2)),VALUE(LEFT(H162,2)))</f>
        <v>45464</v>
      </c>
      <c r="J162" s="9"/>
      <c r="K162" s="10" t="n">
        <v>543600</v>
      </c>
      <c r="L162" s="10" t="n">
        <v>0</v>
      </c>
      <c r="M162" s="10" t="n">
        <v>543600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543600</v>
      </c>
      <c r="S162" s="10" t="n">
        <v>0</v>
      </c>
      <c r="T162" s="7"/>
      <c r="U162" s="7"/>
      <c r="V162" s="7"/>
      <c r="W162" s="7" t="s">
        <v>49</v>
      </c>
      <c r="X162" s="7"/>
      <c r="Y162" s="7" t="s">
        <v>37</v>
      </c>
      <c r="Z162" s="7" t="s">
        <v>624</v>
      </c>
      <c r="AA162" s="7" t="s">
        <v>625</v>
      </c>
      <c r="AB162" s="10" t="n">
        <v>543600</v>
      </c>
      <c r="AC162" s="10" t="n">
        <v>1</v>
      </c>
    </row>
    <row r="163" customFormat="false" ht="15.75" hidden="true" customHeight="true" outlineLevel="0" collapsed="false">
      <c r="A163" s="6"/>
      <c r="B163" s="7" t="s">
        <v>475</v>
      </c>
      <c r="C163" s="7" t="s">
        <v>31</v>
      </c>
      <c r="D163" s="7" t="s">
        <v>32</v>
      </c>
      <c r="E163" s="7" t="s">
        <v>626</v>
      </c>
      <c r="F163" s="8" t="s">
        <v>627</v>
      </c>
      <c r="G163" s="9" t="n">
        <f aca="false">DATE(2000+VALUE(MID(F163,7,2)),VALUE(MID(F163,4,2)),VALUE(LEFT(F163,2)))</f>
        <v>45462</v>
      </c>
      <c r="H163" s="8" t="s">
        <v>628</v>
      </c>
      <c r="I163" s="9" t="n">
        <f aca="false">DATE(2000+VALUE(MID(H163,7,2)),VALUE(MID(H163,4,2)),VALUE(LEFT(H163,2)))</f>
        <v>45464</v>
      </c>
      <c r="J163" s="9"/>
      <c r="K163" s="10" t="n">
        <v>1392343</v>
      </c>
      <c r="L163" s="10" t="n">
        <v>0</v>
      </c>
      <c r="M163" s="10" t="n">
        <v>1392343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1392343</v>
      </c>
      <c r="S163" s="10" t="n">
        <v>0</v>
      </c>
      <c r="T163" s="7"/>
      <c r="U163" s="7"/>
      <c r="V163" s="7"/>
      <c r="W163" s="7" t="s">
        <v>49</v>
      </c>
      <c r="X163" s="7"/>
      <c r="Y163" s="7" t="s">
        <v>37</v>
      </c>
      <c r="Z163" s="7" t="s">
        <v>629</v>
      </c>
      <c r="AA163" s="7" t="s">
        <v>630</v>
      </c>
      <c r="AB163" s="10" t="n">
        <v>696171.5</v>
      </c>
      <c r="AC163" s="10" t="n">
        <v>2</v>
      </c>
    </row>
    <row r="164" customFormat="false" ht="15.75" hidden="true" customHeight="true" outlineLevel="0" collapsed="false">
      <c r="A164" s="6"/>
      <c r="B164" s="7" t="s">
        <v>631</v>
      </c>
      <c r="C164" s="7" t="s">
        <v>65</v>
      </c>
      <c r="D164" s="7" t="s">
        <v>66</v>
      </c>
      <c r="E164" s="7" t="s">
        <v>632</v>
      </c>
      <c r="F164" s="8" t="s">
        <v>633</v>
      </c>
      <c r="G164" s="9" t="n">
        <f aca="false">DATE(2000+VALUE(MID(F164,7,2)),VALUE(MID(F164,4,2)),VALUE(LEFT(F164,2)))</f>
        <v>45462</v>
      </c>
      <c r="H164" s="8" t="s">
        <v>634</v>
      </c>
      <c r="I164" s="9" t="n">
        <f aca="false">DATE(2000+VALUE(MID(H164,7,2)),VALUE(MID(H164,4,2)),VALUE(LEFT(H164,2)))</f>
        <v>45464</v>
      </c>
      <c r="J164" s="9"/>
      <c r="K164" s="10" t="n">
        <v>889920</v>
      </c>
      <c r="L164" s="10" t="n">
        <v>0</v>
      </c>
      <c r="M164" s="10" t="n">
        <v>889920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889920</v>
      </c>
      <c r="S164" s="10" t="n">
        <v>0</v>
      </c>
      <c r="T164" s="7"/>
      <c r="U164" s="7"/>
      <c r="V164" s="7"/>
      <c r="W164" s="7" t="s">
        <v>49</v>
      </c>
      <c r="X164" s="7"/>
      <c r="Y164" s="7" t="s">
        <v>37</v>
      </c>
      <c r="Z164" s="7" t="s">
        <v>635</v>
      </c>
      <c r="AA164" s="7" t="s">
        <v>636</v>
      </c>
      <c r="AB164" s="10" t="n">
        <v>444960</v>
      </c>
      <c r="AC164" s="10" t="n">
        <v>2</v>
      </c>
    </row>
    <row r="165" customFormat="false" ht="15.75" hidden="true" customHeight="true" outlineLevel="0" collapsed="false">
      <c r="A165" s="6"/>
      <c r="B165" s="7" t="s">
        <v>565</v>
      </c>
      <c r="C165" s="7" t="s">
        <v>31</v>
      </c>
      <c r="D165" s="7" t="s">
        <v>32</v>
      </c>
      <c r="E165" s="7" t="s">
        <v>637</v>
      </c>
      <c r="F165" s="8" t="s">
        <v>638</v>
      </c>
      <c r="G165" s="9" t="n">
        <f aca="false">DATE(2000+VALUE(MID(F165,7,2)),VALUE(MID(F165,4,2)),VALUE(LEFT(F165,2)))</f>
        <v>45464</v>
      </c>
      <c r="H165" s="8" t="s">
        <v>639</v>
      </c>
      <c r="I165" s="9" t="n">
        <f aca="false">DATE(2000+VALUE(MID(H165,7,2)),VALUE(MID(H165,4,2)),VALUE(LEFT(H165,2)))</f>
        <v>45465</v>
      </c>
      <c r="J165" s="9"/>
      <c r="K165" s="10" t="n">
        <v>696172</v>
      </c>
      <c r="L165" s="10" t="n">
        <v>0</v>
      </c>
      <c r="M165" s="10" t="n">
        <v>696172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696172</v>
      </c>
      <c r="S165" s="10" t="n">
        <v>0</v>
      </c>
      <c r="T165" s="7"/>
      <c r="U165" s="7"/>
      <c r="V165" s="7"/>
      <c r="W165" s="7" t="s">
        <v>43</v>
      </c>
      <c r="X165" s="7"/>
      <c r="Y165" s="7" t="s">
        <v>37</v>
      </c>
      <c r="Z165" s="7" t="s">
        <v>361</v>
      </c>
      <c r="AA165" s="7"/>
      <c r="AB165" s="10" t="n">
        <v>696172</v>
      </c>
      <c r="AC165" s="10" t="n">
        <v>1</v>
      </c>
    </row>
    <row r="166" customFormat="false" ht="15.75" hidden="true" customHeight="true" outlineLevel="0" collapsed="false">
      <c r="A166" s="6"/>
      <c r="B166" s="7" t="s">
        <v>509</v>
      </c>
      <c r="C166" s="7" t="s">
        <v>71</v>
      </c>
      <c r="D166" s="7" t="s">
        <v>72</v>
      </c>
      <c r="E166" s="12" t="s">
        <v>214</v>
      </c>
      <c r="F166" s="8" t="s">
        <v>640</v>
      </c>
      <c r="G166" s="9" t="n">
        <f aca="false">DATE(2000+VALUE(MID(F166,7,2)),VALUE(MID(F166,4,2)),VALUE(LEFT(F166,2)))</f>
        <v>45463</v>
      </c>
      <c r="H166" s="8" t="s">
        <v>641</v>
      </c>
      <c r="I166" s="9" t="n">
        <f aca="false">DATE(2000+VALUE(MID(H166,7,2)),VALUE(MID(H166,4,2)),VALUE(LEFT(H166,2)))</f>
        <v>45465</v>
      </c>
      <c r="J166" s="9"/>
      <c r="K166" s="10" t="n">
        <v>929529</v>
      </c>
      <c r="L166" s="10" t="n">
        <v>0</v>
      </c>
      <c r="M166" s="10" t="n">
        <v>929529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929529</v>
      </c>
      <c r="S166" s="10" t="n">
        <v>0</v>
      </c>
      <c r="T166" s="7"/>
      <c r="U166" s="7"/>
      <c r="V166" s="7"/>
      <c r="W166" s="7" t="s">
        <v>49</v>
      </c>
      <c r="X166" s="7"/>
      <c r="Y166" s="7" t="s">
        <v>37</v>
      </c>
      <c r="Z166" s="7" t="s">
        <v>642</v>
      </c>
      <c r="AA166" s="7" t="s">
        <v>643</v>
      </c>
      <c r="AB166" s="10" t="n">
        <v>464764.5</v>
      </c>
      <c r="AC166" s="10" t="n">
        <v>2</v>
      </c>
    </row>
    <row r="167" customFormat="false" ht="15.75" hidden="true" customHeight="true" outlineLevel="0" collapsed="false">
      <c r="A167" s="6"/>
      <c r="B167" s="7" t="s">
        <v>508</v>
      </c>
      <c r="C167" s="7" t="s">
        <v>65</v>
      </c>
      <c r="D167" s="7" t="s">
        <v>87</v>
      </c>
      <c r="E167" s="7" t="s">
        <v>593</v>
      </c>
      <c r="F167" s="8" t="s">
        <v>644</v>
      </c>
      <c r="G167" s="9" t="n">
        <f aca="false">DATE(2000+VALUE(MID(F167,7,2)),VALUE(MID(F167,4,2)),VALUE(LEFT(F167,2)))</f>
        <v>45462</v>
      </c>
      <c r="H167" s="8" t="s">
        <v>645</v>
      </c>
      <c r="I167" s="9" t="n">
        <f aca="false">DATE(2000+VALUE(MID(H167,7,2)),VALUE(MID(H167,4,2)),VALUE(LEFT(H167,2)))</f>
        <v>45465</v>
      </c>
      <c r="J167" s="9"/>
      <c r="K167" s="10" t="n">
        <v>1575000</v>
      </c>
      <c r="L167" s="10" t="n">
        <v>0</v>
      </c>
      <c r="M167" s="10" t="n">
        <v>1575000</v>
      </c>
      <c r="N167" s="10" t="n">
        <v>0</v>
      </c>
      <c r="O167" s="10" t="n">
        <v>1575000</v>
      </c>
      <c r="P167" s="10" t="n">
        <v>0</v>
      </c>
      <c r="Q167" s="10" t="n">
        <v>0</v>
      </c>
      <c r="R167" s="10" t="n">
        <v>0</v>
      </c>
      <c r="S167" s="10" t="n">
        <v>0</v>
      </c>
      <c r="T167" s="7"/>
      <c r="U167" s="7"/>
      <c r="V167" s="7"/>
      <c r="W167" s="7" t="s">
        <v>43</v>
      </c>
      <c r="X167" s="7"/>
      <c r="Y167" s="7" t="s">
        <v>37</v>
      </c>
      <c r="Z167" s="7" t="s">
        <v>646</v>
      </c>
      <c r="AA167" s="7"/>
      <c r="AB167" s="10" t="n">
        <v>525000</v>
      </c>
      <c r="AC167" s="10" t="n">
        <v>3</v>
      </c>
    </row>
    <row r="168" customFormat="false" ht="15.75" hidden="true" customHeight="true" outlineLevel="0" collapsed="false">
      <c r="A168" s="6"/>
      <c r="B168" s="7" t="s">
        <v>536</v>
      </c>
      <c r="C168" s="7" t="s">
        <v>65</v>
      </c>
      <c r="D168" s="7" t="s">
        <v>66</v>
      </c>
      <c r="E168" s="7" t="s">
        <v>647</v>
      </c>
      <c r="F168" s="8" t="s">
        <v>648</v>
      </c>
      <c r="G168" s="9" t="n">
        <f aca="false">DATE(2000+VALUE(MID(F168,7,2)),VALUE(MID(F168,4,2)),VALUE(LEFT(F168,2)))</f>
        <v>45464</v>
      </c>
      <c r="H168" s="8" t="s">
        <v>649</v>
      </c>
      <c r="I168" s="9" t="n">
        <f aca="false">DATE(2000+VALUE(MID(H168,7,2)),VALUE(MID(H168,4,2)),VALUE(LEFT(H168,2)))</f>
        <v>45465</v>
      </c>
      <c r="J168" s="9"/>
      <c r="K168" s="10" t="n">
        <v>680000</v>
      </c>
      <c r="L168" s="10" t="n">
        <v>0</v>
      </c>
      <c r="M168" s="10" t="n">
        <v>680000</v>
      </c>
      <c r="N168" s="10" t="n">
        <v>0</v>
      </c>
      <c r="O168" s="10" t="n">
        <v>680000</v>
      </c>
      <c r="P168" s="10" t="n">
        <v>0</v>
      </c>
      <c r="Q168" s="10" t="n">
        <v>0</v>
      </c>
      <c r="R168" s="10" t="n">
        <v>0</v>
      </c>
      <c r="S168" s="10" t="n">
        <v>0</v>
      </c>
      <c r="T168" s="7"/>
      <c r="U168" s="7"/>
      <c r="V168" s="7"/>
      <c r="W168" s="7" t="s">
        <v>43</v>
      </c>
      <c r="X168" s="7"/>
      <c r="Y168" s="7" t="s">
        <v>37</v>
      </c>
      <c r="Z168" s="7" t="s">
        <v>650</v>
      </c>
      <c r="AA168" s="7"/>
      <c r="AB168" s="10" t="n">
        <v>680000</v>
      </c>
      <c r="AC168" s="10" t="n">
        <v>1</v>
      </c>
    </row>
    <row r="169" customFormat="false" ht="15.75" hidden="true" customHeight="true" outlineLevel="0" collapsed="false">
      <c r="A169" s="6"/>
      <c r="B169" s="7" t="s">
        <v>455</v>
      </c>
      <c r="C169" s="7" t="s">
        <v>71</v>
      </c>
      <c r="D169" s="7" t="s">
        <v>92</v>
      </c>
      <c r="E169" s="7" t="s">
        <v>651</v>
      </c>
      <c r="F169" s="8" t="s">
        <v>652</v>
      </c>
      <c r="G169" s="9" t="n">
        <f aca="false">DATE(2000+VALUE(MID(F169,7,2)),VALUE(MID(F169,4,2)),VALUE(LEFT(F169,2)))</f>
        <v>45465</v>
      </c>
      <c r="H169" s="8" t="s">
        <v>653</v>
      </c>
      <c r="I169" s="9" t="n">
        <f aca="false">DATE(2000+VALUE(MID(H169,7,2)),VALUE(MID(H169,4,2)),VALUE(LEFT(H169,2)))</f>
        <v>45466</v>
      </c>
      <c r="J169" s="9"/>
      <c r="K169" s="10" t="n">
        <v>525600</v>
      </c>
      <c r="L169" s="10" t="n">
        <v>0</v>
      </c>
      <c r="M169" s="10" t="n">
        <v>525600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525600</v>
      </c>
      <c r="S169" s="10" t="n">
        <v>0</v>
      </c>
      <c r="T169" s="7"/>
      <c r="U169" s="7"/>
      <c r="V169" s="7"/>
      <c r="W169" s="7" t="s">
        <v>49</v>
      </c>
      <c r="X169" s="7"/>
      <c r="Y169" s="7" t="s">
        <v>37</v>
      </c>
      <c r="Z169" s="7" t="s">
        <v>654</v>
      </c>
      <c r="AA169" s="7" t="s">
        <v>655</v>
      </c>
      <c r="AB169" s="10" t="n">
        <v>525600</v>
      </c>
      <c r="AC169" s="10" t="n">
        <v>1</v>
      </c>
    </row>
    <row r="170" customFormat="false" ht="15.75" hidden="true" customHeight="true" outlineLevel="0" collapsed="false">
      <c r="A170" s="6"/>
      <c r="B170" s="7" t="s">
        <v>656</v>
      </c>
      <c r="C170" s="7" t="s">
        <v>65</v>
      </c>
      <c r="D170" s="7" t="s">
        <v>82</v>
      </c>
      <c r="E170" s="7" t="s">
        <v>657</v>
      </c>
      <c r="F170" s="8" t="s">
        <v>658</v>
      </c>
      <c r="G170" s="9" t="n">
        <f aca="false">DATE(2000+VALUE(MID(F170,7,2)),VALUE(MID(F170,4,2)),VALUE(LEFT(F170,2)))</f>
        <v>45464</v>
      </c>
      <c r="H170" s="8" t="s">
        <v>659</v>
      </c>
      <c r="I170" s="9" t="n">
        <f aca="false">DATE(2000+VALUE(MID(H170,7,2)),VALUE(MID(H170,4,2)),VALUE(LEFT(H170,2)))</f>
        <v>45466</v>
      </c>
      <c r="J170" s="9"/>
      <c r="K170" s="10" t="n">
        <v>1098000</v>
      </c>
      <c r="L170" s="10" t="n">
        <v>0</v>
      </c>
      <c r="M170" s="10" t="n">
        <v>1098000</v>
      </c>
      <c r="N170" s="10" t="n">
        <v>0</v>
      </c>
      <c r="O170" s="10" t="n">
        <v>498000</v>
      </c>
      <c r="P170" s="10" t="n">
        <v>0</v>
      </c>
      <c r="Q170" s="10" t="n">
        <v>600000</v>
      </c>
      <c r="R170" s="10" t="n">
        <v>0</v>
      </c>
      <c r="S170" s="10" t="n">
        <v>0</v>
      </c>
      <c r="T170" s="7"/>
      <c r="U170" s="7"/>
      <c r="V170" s="7"/>
      <c r="W170" s="7" t="s">
        <v>43</v>
      </c>
      <c r="X170" s="7"/>
      <c r="Y170" s="7" t="s">
        <v>37</v>
      </c>
      <c r="Z170" s="7" t="s">
        <v>484</v>
      </c>
      <c r="AA170" s="7"/>
      <c r="AB170" s="10" t="n">
        <v>549000</v>
      </c>
      <c r="AC170" s="10" t="n">
        <v>2</v>
      </c>
    </row>
    <row r="171" customFormat="false" ht="15.75" hidden="true" customHeight="true" outlineLevel="0" collapsed="false">
      <c r="A171" s="6"/>
      <c r="B171" s="7" t="s">
        <v>569</v>
      </c>
      <c r="C171" s="7" t="s">
        <v>60</v>
      </c>
      <c r="D171" s="7" t="s">
        <v>61</v>
      </c>
      <c r="E171" s="7" t="s">
        <v>660</v>
      </c>
      <c r="F171" s="8" t="s">
        <v>661</v>
      </c>
      <c r="G171" s="9" t="n">
        <f aca="false">DATE(2000+VALUE(MID(F171,7,2)),VALUE(MID(F171,4,2)),VALUE(LEFT(F171,2)))</f>
        <v>45464</v>
      </c>
      <c r="H171" s="8" t="s">
        <v>659</v>
      </c>
      <c r="I171" s="9" t="n">
        <f aca="false">DATE(2000+VALUE(MID(H171,7,2)),VALUE(MID(H171,4,2)),VALUE(LEFT(H171,2)))</f>
        <v>45466</v>
      </c>
      <c r="J171" s="9"/>
      <c r="K171" s="10" t="n">
        <v>1000000</v>
      </c>
      <c r="L171" s="10" t="n">
        <v>0</v>
      </c>
      <c r="M171" s="10" t="n">
        <v>1000000</v>
      </c>
      <c r="N171" s="10" t="n">
        <v>0</v>
      </c>
      <c r="O171" s="10" t="n">
        <v>1000000</v>
      </c>
      <c r="P171" s="10" t="n">
        <v>0</v>
      </c>
      <c r="Q171" s="10" t="n">
        <v>0</v>
      </c>
      <c r="R171" s="10" t="n">
        <v>0</v>
      </c>
      <c r="S171" s="10" t="n">
        <v>0</v>
      </c>
      <c r="T171" s="7"/>
      <c r="U171" s="7"/>
      <c r="V171" s="7"/>
      <c r="W171" s="7" t="s">
        <v>43</v>
      </c>
      <c r="X171" s="7"/>
      <c r="Y171" s="7" t="s">
        <v>37</v>
      </c>
      <c r="Z171" s="7" t="s">
        <v>662</v>
      </c>
      <c r="AA171" s="7"/>
      <c r="AB171" s="10" t="n">
        <v>500000</v>
      </c>
      <c r="AC171" s="10" t="n">
        <v>2</v>
      </c>
    </row>
    <row r="172" customFormat="false" ht="15.75" hidden="true" customHeight="true" outlineLevel="0" collapsed="false">
      <c r="A172" s="6"/>
      <c r="B172" s="7" t="s">
        <v>663</v>
      </c>
      <c r="C172" s="7" t="s">
        <v>31</v>
      </c>
      <c r="D172" s="7" t="s">
        <v>105</v>
      </c>
      <c r="E172" s="7" t="s">
        <v>664</v>
      </c>
      <c r="F172" s="8" t="s">
        <v>665</v>
      </c>
      <c r="G172" s="9" t="n">
        <f aca="false">DATE(2000+VALUE(MID(F172,7,2)),VALUE(MID(F172,4,2)),VALUE(LEFT(F172,2)))</f>
        <v>45455</v>
      </c>
      <c r="H172" s="8" t="s">
        <v>666</v>
      </c>
      <c r="I172" s="9" t="n">
        <f aca="false">DATE(2000+VALUE(MID(H172,7,2)),VALUE(MID(H172,4,2)),VALUE(LEFT(H172,2)))</f>
        <v>45466</v>
      </c>
      <c r="J172" s="9"/>
      <c r="K172" s="10" t="n">
        <v>8537252</v>
      </c>
      <c r="L172" s="10" t="n">
        <v>0</v>
      </c>
      <c r="M172" s="10" t="n">
        <v>8537252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8537252</v>
      </c>
      <c r="S172" s="10" t="n">
        <v>0</v>
      </c>
      <c r="T172" s="7"/>
      <c r="U172" s="7"/>
      <c r="V172" s="7"/>
      <c r="W172" s="7" t="s">
        <v>49</v>
      </c>
      <c r="X172" s="7"/>
      <c r="Y172" s="7" t="s">
        <v>37</v>
      </c>
      <c r="Z172" s="7" t="s">
        <v>451</v>
      </c>
      <c r="AA172" s="7" t="s">
        <v>667</v>
      </c>
      <c r="AB172" s="10" t="n">
        <v>776113.8181</v>
      </c>
      <c r="AC172" s="10" t="n">
        <v>11</v>
      </c>
    </row>
    <row r="173" customFormat="false" ht="15.75" hidden="true" customHeight="true" outlineLevel="0" collapsed="false">
      <c r="A173" s="6"/>
      <c r="B173" s="7" t="s">
        <v>558</v>
      </c>
      <c r="C173" s="7" t="s">
        <v>31</v>
      </c>
      <c r="D173" s="7" t="s">
        <v>45</v>
      </c>
      <c r="E173" s="7" t="s">
        <v>668</v>
      </c>
      <c r="F173" s="8" t="s">
        <v>669</v>
      </c>
      <c r="G173" s="9" t="n">
        <f aca="false">DATE(2000+VALUE(MID(F173,7,2)),VALUE(MID(F173,4,2)),VALUE(LEFT(F173,2)))</f>
        <v>45465</v>
      </c>
      <c r="H173" s="8" t="s">
        <v>670</v>
      </c>
      <c r="I173" s="9" t="n">
        <f aca="false">DATE(2000+VALUE(MID(H173,7,2)),VALUE(MID(H173,4,2)),VALUE(LEFT(H173,2)))</f>
        <v>45467</v>
      </c>
      <c r="J173" s="9"/>
      <c r="K173" s="10" t="n">
        <v>1700000</v>
      </c>
      <c r="L173" s="10" t="n">
        <v>0</v>
      </c>
      <c r="M173" s="10" t="n">
        <v>1700000</v>
      </c>
      <c r="N173" s="10" t="n">
        <v>0</v>
      </c>
      <c r="O173" s="10" t="n">
        <v>0</v>
      </c>
      <c r="P173" s="10" t="n">
        <v>0</v>
      </c>
      <c r="Q173" s="10" t="n">
        <v>1700000</v>
      </c>
      <c r="R173" s="10" t="n">
        <v>0</v>
      </c>
      <c r="S173" s="10" t="n">
        <v>0</v>
      </c>
      <c r="T173" s="7"/>
      <c r="U173" s="7"/>
      <c r="V173" s="7"/>
      <c r="W173" s="7" t="s">
        <v>43</v>
      </c>
      <c r="X173" s="7"/>
      <c r="Y173" s="7" t="s">
        <v>37</v>
      </c>
      <c r="Z173" s="7" t="s">
        <v>671</v>
      </c>
      <c r="AA173" s="7"/>
      <c r="AB173" s="10" t="n">
        <v>850000</v>
      </c>
      <c r="AC173" s="10" t="n">
        <v>2</v>
      </c>
    </row>
    <row r="174" customFormat="false" ht="15.75" hidden="true" customHeight="true" outlineLevel="0" collapsed="false">
      <c r="A174" s="6"/>
      <c r="B174" s="7" t="s">
        <v>672</v>
      </c>
      <c r="C174" s="7" t="s">
        <v>71</v>
      </c>
      <c r="D174" s="7" t="s">
        <v>72</v>
      </c>
      <c r="E174" s="7" t="s">
        <v>673</v>
      </c>
      <c r="F174" s="8" t="s">
        <v>674</v>
      </c>
      <c r="G174" s="9" t="n">
        <f aca="false">DATE(2000+VALUE(MID(F174,7,2)),VALUE(MID(F174,4,2)),VALUE(LEFT(F174,2)))</f>
        <v>45466</v>
      </c>
      <c r="H174" s="8" t="s">
        <v>670</v>
      </c>
      <c r="I174" s="9" t="n">
        <f aca="false">DATE(2000+VALUE(MID(H174,7,2)),VALUE(MID(H174,4,2)),VALUE(LEFT(H174,2)))</f>
        <v>45467</v>
      </c>
      <c r="J174" s="9"/>
      <c r="K174" s="10" t="n">
        <v>444960</v>
      </c>
      <c r="L174" s="10" t="n">
        <v>0</v>
      </c>
      <c r="M174" s="10" t="n">
        <v>444960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444960</v>
      </c>
      <c r="S174" s="10" t="n">
        <v>0</v>
      </c>
      <c r="T174" s="7"/>
      <c r="U174" s="7"/>
      <c r="V174" s="7"/>
      <c r="W174" s="7" t="s">
        <v>49</v>
      </c>
      <c r="X174" s="7"/>
      <c r="Y174" s="7" t="s">
        <v>37</v>
      </c>
      <c r="Z174" s="7" t="s">
        <v>675</v>
      </c>
      <c r="AA174" s="7" t="s">
        <v>676</v>
      </c>
      <c r="AB174" s="10" t="n">
        <v>444960</v>
      </c>
      <c r="AC174" s="10" t="n">
        <v>1</v>
      </c>
    </row>
    <row r="175" customFormat="false" ht="15.75" hidden="true" customHeight="true" outlineLevel="0" collapsed="false">
      <c r="A175" s="6"/>
      <c r="B175" s="7" t="s">
        <v>583</v>
      </c>
      <c r="C175" s="7" t="s">
        <v>71</v>
      </c>
      <c r="D175" s="7" t="s">
        <v>92</v>
      </c>
      <c r="E175" s="7" t="s">
        <v>677</v>
      </c>
      <c r="F175" s="8" t="s">
        <v>678</v>
      </c>
      <c r="G175" s="9" t="n">
        <f aca="false">DATE(2000+VALUE(MID(F175,7,2)),VALUE(MID(F175,4,2)),VALUE(LEFT(F175,2)))</f>
        <v>45466</v>
      </c>
      <c r="H175" s="8" t="s">
        <v>670</v>
      </c>
      <c r="I175" s="9" t="n">
        <f aca="false">DATE(2000+VALUE(MID(H175,7,2)),VALUE(MID(H175,4,2)),VALUE(LEFT(H175,2)))</f>
        <v>45467</v>
      </c>
      <c r="J175" s="9"/>
      <c r="K175" s="10" t="n">
        <v>629000</v>
      </c>
      <c r="L175" s="10" t="n">
        <v>0</v>
      </c>
      <c r="M175" s="10" t="n">
        <v>629000</v>
      </c>
      <c r="N175" s="10" t="n">
        <v>0</v>
      </c>
      <c r="O175" s="10" t="n">
        <v>-61000</v>
      </c>
      <c r="P175" s="10" t="n">
        <v>0</v>
      </c>
      <c r="Q175" s="10" t="n">
        <v>690000</v>
      </c>
      <c r="R175" s="10" t="n">
        <v>0</v>
      </c>
      <c r="S175" s="10" t="n">
        <v>0</v>
      </c>
      <c r="T175" s="7"/>
      <c r="U175" s="7"/>
      <c r="V175" s="7"/>
      <c r="W175" s="7" t="s">
        <v>43</v>
      </c>
      <c r="X175" s="7"/>
      <c r="Y175" s="7" t="s">
        <v>37</v>
      </c>
      <c r="Z175" s="7" t="s">
        <v>679</v>
      </c>
      <c r="AA175" s="7"/>
      <c r="AB175" s="10" t="n">
        <v>629000</v>
      </c>
      <c r="AC175" s="10" t="n">
        <v>1</v>
      </c>
    </row>
    <row r="176" customFormat="false" ht="15.75" hidden="true" customHeight="true" outlineLevel="0" collapsed="false">
      <c r="A176" s="6"/>
      <c r="B176" s="7" t="s">
        <v>680</v>
      </c>
      <c r="C176" s="7" t="s">
        <v>60</v>
      </c>
      <c r="D176" s="7" t="s">
        <v>164</v>
      </c>
      <c r="E176" s="7" t="s">
        <v>681</v>
      </c>
      <c r="F176" s="8" t="s">
        <v>682</v>
      </c>
      <c r="G176" s="9" t="n">
        <f aca="false">DATE(2000+VALUE(MID(F176,7,2)),VALUE(MID(F176,4,2)),VALUE(LEFT(F176,2)))</f>
        <v>45464</v>
      </c>
      <c r="H176" s="8" t="s">
        <v>683</v>
      </c>
      <c r="I176" s="9" t="n">
        <f aca="false">DATE(2000+VALUE(MID(H176,7,2)),VALUE(MID(H176,4,2)),VALUE(LEFT(H176,2)))</f>
        <v>45467</v>
      </c>
      <c r="J176" s="9"/>
      <c r="K176" s="10" t="n">
        <v>1662000</v>
      </c>
      <c r="L176" s="10" t="n">
        <v>0</v>
      </c>
      <c r="M176" s="10" t="n">
        <v>1662000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1662000</v>
      </c>
      <c r="S176" s="10" t="n">
        <v>0</v>
      </c>
      <c r="T176" s="7"/>
      <c r="U176" s="7"/>
      <c r="V176" s="7"/>
      <c r="W176" s="7" t="s">
        <v>43</v>
      </c>
      <c r="X176" s="7"/>
      <c r="Y176" s="7" t="s">
        <v>37</v>
      </c>
      <c r="Z176" s="7" t="s">
        <v>684</v>
      </c>
      <c r="AA176" s="7"/>
      <c r="AB176" s="10" t="n">
        <v>554000</v>
      </c>
      <c r="AC176" s="10" t="n">
        <v>3</v>
      </c>
    </row>
    <row r="177" customFormat="false" ht="15.75" hidden="true" customHeight="true" outlineLevel="0" collapsed="false">
      <c r="A177" s="6"/>
      <c r="B177" s="7" t="s">
        <v>343</v>
      </c>
      <c r="C177" s="7" t="s">
        <v>65</v>
      </c>
      <c r="D177" s="7" t="s">
        <v>66</v>
      </c>
      <c r="E177" s="7" t="s">
        <v>685</v>
      </c>
      <c r="F177" s="8" t="s">
        <v>686</v>
      </c>
      <c r="G177" s="9" t="n">
        <f aca="false">DATE(2000+VALUE(MID(F177,7,2)),VALUE(MID(F177,4,2)),VALUE(LEFT(F177,2)))</f>
        <v>45466</v>
      </c>
      <c r="H177" s="8" t="s">
        <v>687</v>
      </c>
      <c r="I177" s="9" t="n">
        <f aca="false">DATE(2000+VALUE(MID(H177,7,2)),VALUE(MID(H177,4,2)),VALUE(LEFT(H177,2)))</f>
        <v>45467</v>
      </c>
      <c r="J177" s="9"/>
      <c r="K177" s="10" t="n">
        <v>549000</v>
      </c>
      <c r="L177" s="10" t="n">
        <v>0</v>
      </c>
      <c r="M177" s="10" t="n">
        <v>494100</v>
      </c>
      <c r="N177" s="10" t="n">
        <v>0</v>
      </c>
      <c r="O177" s="10" t="n">
        <v>0</v>
      </c>
      <c r="P177" s="10" t="n">
        <v>0</v>
      </c>
      <c r="Q177" s="10" t="n">
        <v>494100</v>
      </c>
      <c r="R177" s="10" t="n">
        <v>0</v>
      </c>
      <c r="S177" s="10" t="n">
        <v>0</v>
      </c>
      <c r="T177" s="7"/>
      <c r="U177" s="7"/>
      <c r="V177" s="7"/>
      <c r="W177" s="7" t="s">
        <v>43</v>
      </c>
      <c r="X177" s="7"/>
      <c r="Y177" s="7" t="s">
        <v>37</v>
      </c>
      <c r="Z177" s="7" t="s">
        <v>156</v>
      </c>
      <c r="AA177" s="7" t="s">
        <v>688</v>
      </c>
      <c r="AB177" s="10" t="n">
        <v>549000</v>
      </c>
      <c r="AC177" s="10" t="n">
        <v>1</v>
      </c>
    </row>
    <row r="178" customFormat="false" ht="15.75" hidden="true" customHeight="true" outlineLevel="0" collapsed="false">
      <c r="A178" s="6"/>
      <c r="B178" s="7" t="s">
        <v>343</v>
      </c>
      <c r="C178" s="7" t="s">
        <v>65</v>
      </c>
      <c r="D178" s="7" t="s">
        <v>82</v>
      </c>
      <c r="E178" s="7" t="s">
        <v>689</v>
      </c>
      <c r="F178" s="8" t="s">
        <v>686</v>
      </c>
      <c r="G178" s="9" t="n">
        <f aca="false">DATE(2000+VALUE(MID(F178,7,2)),VALUE(MID(F178,4,2)),VALUE(LEFT(F178,2)))</f>
        <v>45466</v>
      </c>
      <c r="H178" s="8" t="s">
        <v>687</v>
      </c>
      <c r="I178" s="9" t="n">
        <f aca="false">DATE(2000+VALUE(MID(H178,7,2)),VALUE(MID(H178,4,2)),VALUE(LEFT(H178,2)))</f>
        <v>45467</v>
      </c>
      <c r="J178" s="9"/>
      <c r="K178" s="10" t="n">
        <v>549000</v>
      </c>
      <c r="L178" s="10" t="n">
        <v>0</v>
      </c>
      <c r="M178" s="10" t="n">
        <v>494100</v>
      </c>
      <c r="N178" s="10" t="n">
        <v>0</v>
      </c>
      <c r="O178" s="10" t="n">
        <v>488200</v>
      </c>
      <c r="P178" s="10" t="n">
        <v>0</v>
      </c>
      <c r="Q178" s="10" t="n">
        <v>5900</v>
      </c>
      <c r="R178" s="10" t="n">
        <v>0</v>
      </c>
      <c r="S178" s="10" t="n">
        <v>0</v>
      </c>
      <c r="T178" s="7"/>
      <c r="U178" s="7"/>
      <c r="V178" s="7"/>
      <c r="W178" s="7" t="s">
        <v>43</v>
      </c>
      <c r="X178" s="7"/>
      <c r="Y178" s="7" t="s">
        <v>37</v>
      </c>
      <c r="Z178" s="7" t="s">
        <v>173</v>
      </c>
      <c r="AA178" s="7" t="s">
        <v>688</v>
      </c>
      <c r="AB178" s="10" t="n">
        <v>549000</v>
      </c>
      <c r="AC178" s="10" t="n">
        <v>1</v>
      </c>
    </row>
    <row r="179" customFormat="false" ht="15.75" hidden="true" customHeight="true" outlineLevel="0" collapsed="false">
      <c r="A179" s="6"/>
      <c r="B179" s="7" t="s">
        <v>610</v>
      </c>
      <c r="C179" s="7" t="s">
        <v>71</v>
      </c>
      <c r="D179" s="7" t="s">
        <v>92</v>
      </c>
      <c r="E179" s="7" t="s">
        <v>690</v>
      </c>
      <c r="F179" s="8" t="s">
        <v>691</v>
      </c>
      <c r="G179" s="9" t="n">
        <f aca="false">DATE(2000+VALUE(MID(F179,7,2)),VALUE(MID(F179,4,2)),VALUE(LEFT(F179,2)))</f>
        <v>45468</v>
      </c>
      <c r="H179" s="8" t="s">
        <v>692</v>
      </c>
      <c r="I179" s="9" t="n">
        <f aca="false">DATE(2000+VALUE(MID(H179,7,2)),VALUE(MID(H179,4,2)),VALUE(LEFT(H179,2)))</f>
        <v>45468</v>
      </c>
      <c r="J179" s="9"/>
      <c r="K179" s="10" t="n">
        <v>585000</v>
      </c>
      <c r="L179" s="10" t="n">
        <v>0</v>
      </c>
      <c r="M179" s="10" t="n">
        <v>585000</v>
      </c>
      <c r="N179" s="10" t="n">
        <v>0</v>
      </c>
      <c r="O179" s="10" t="n">
        <v>0</v>
      </c>
      <c r="P179" s="10" t="n">
        <v>0</v>
      </c>
      <c r="Q179" s="10" t="n">
        <v>585000</v>
      </c>
      <c r="R179" s="10" t="n">
        <v>0</v>
      </c>
      <c r="S179" s="10" t="n">
        <v>0</v>
      </c>
      <c r="T179" s="7"/>
      <c r="U179" s="7"/>
      <c r="V179" s="7"/>
      <c r="W179" s="7" t="s">
        <v>43</v>
      </c>
      <c r="X179" s="7"/>
      <c r="Y179" s="7" t="s">
        <v>37</v>
      </c>
      <c r="Z179" s="7" t="s">
        <v>693</v>
      </c>
      <c r="AA179" s="7"/>
      <c r="AB179" s="10" t="n">
        <v>585000</v>
      </c>
      <c r="AC179" s="10" t="n">
        <v>1</v>
      </c>
    </row>
    <row r="180" customFormat="false" ht="15.75" hidden="true" customHeight="true" outlineLevel="0" collapsed="false">
      <c r="A180" s="6"/>
      <c r="B180" s="7" t="s">
        <v>635</v>
      </c>
      <c r="C180" s="7" t="s">
        <v>60</v>
      </c>
      <c r="D180" s="7" t="s">
        <v>61</v>
      </c>
      <c r="E180" s="7" t="s">
        <v>694</v>
      </c>
      <c r="F180" s="8" t="s">
        <v>695</v>
      </c>
      <c r="G180" s="9" t="n">
        <f aca="false">DATE(2000+VALUE(MID(F180,7,2)),VALUE(MID(F180,4,2)),VALUE(LEFT(F180,2)))</f>
        <v>45466</v>
      </c>
      <c r="H180" s="8" t="s">
        <v>696</v>
      </c>
      <c r="I180" s="9" t="n">
        <f aca="false">DATE(2000+VALUE(MID(H180,7,2)),VALUE(MID(H180,4,2)),VALUE(LEFT(H180,2)))</f>
        <v>45468</v>
      </c>
      <c r="J180" s="9"/>
      <c r="K180" s="10" t="n">
        <v>1000000</v>
      </c>
      <c r="L180" s="10" t="n">
        <v>0</v>
      </c>
      <c r="M180" s="10" t="n">
        <v>1000000</v>
      </c>
      <c r="N180" s="10" t="n">
        <v>0</v>
      </c>
      <c r="O180" s="10" t="n">
        <v>1000000</v>
      </c>
      <c r="P180" s="10" t="n">
        <v>0</v>
      </c>
      <c r="Q180" s="10" t="n">
        <v>0</v>
      </c>
      <c r="R180" s="10" t="n">
        <v>0</v>
      </c>
      <c r="S180" s="10" t="n">
        <v>0</v>
      </c>
      <c r="T180" s="7"/>
      <c r="U180" s="7"/>
      <c r="V180" s="7"/>
      <c r="W180" s="7" t="s">
        <v>43</v>
      </c>
      <c r="X180" s="7"/>
      <c r="Y180" s="7" t="s">
        <v>37</v>
      </c>
      <c r="Z180" s="7" t="s">
        <v>697</v>
      </c>
      <c r="AA180" s="7"/>
      <c r="AB180" s="10" t="n">
        <v>500000</v>
      </c>
      <c r="AC180" s="10" t="n">
        <v>2</v>
      </c>
    </row>
    <row r="181" customFormat="false" ht="15.75" hidden="true" customHeight="true" outlineLevel="0" collapsed="false">
      <c r="A181" s="6"/>
      <c r="B181" s="7" t="s">
        <v>635</v>
      </c>
      <c r="C181" s="7" t="s">
        <v>31</v>
      </c>
      <c r="D181" s="7" t="s">
        <v>39</v>
      </c>
      <c r="E181" s="7" t="s">
        <v>202</v>
      </c>
      <c r="F181" s="8" t="s">
        <v>695</v>
      </c>
      <c r="G181" s="9" t="n">
        <f aca="false">DATE(2000+VALUE(MID(F181,7,2)),VALUE(MID(F181,4,2)),VALUE(LEFT(F181,2)))</f>
        <v>45466</v>
      </c>
      <c r="H181" s="8" t="s">
        <v>696</v>
      </c>
      <c r="I181" s="9" t="n">
        <f aca="false">DATE(2000+VALUE(MID(H181,7,2)),VALUE(MID(H181,4,2)),VALUE(LEFT(H181,2)))</f>
        <v>45468</v>
      </c>
      <c r="J181" s="9"/>
      <c r="K181" s="10" t="n">
        <v>1500000</v>
      </c>
      <c r="L181" s="10" t="n">
        <v>0</v>
      </c>
      <c r="M181" s="10" t="n">
        <v>1500000</v>
      </c>
      <c r="N181" s="10" t="n">
        <v>0</v>
      </c>
      <c r="O181" s="10" t="n">
        <v>1500000</v>
      </c>
      <c r="P181" s="10" t="n">
        <v>0</v>
      </c>
      <c r="Q181" s="10" t="n">
        <v>0</v>
      </c>
      <c r="R181" s="10" t="n">
        <v>0</v>
      </c>
      <c r="S181" s="10" t="n">
        <v>0</v>
      </c>
      <c r="T181" s="7"/>
      <c r="U181" s="7"/>
      <c r="V181" s="7"/>
      <c r="W181" s="7" t="s">
        <v>43</v>
      </c>
      <c r="X181" s="7"/>
      <c r="Y181" s="7" t="s">
        <v>37</v>
      </c>
      <c r="Z181" s="7" t="s">
        <v>698</v>
      </c>
      <c r="AA181" s="7"/>
      <c r="AB181" s="10" t="n">
        <v>750000</v>
      </c>
      <c r="AC181" s="10" t="n">
        <v>2</v>
      </c>
    </row>
    <row r="182" customFormat="false" ht="15.75" hidden="true" customHeight="true" outlineLevel="0" collapsed="false">
      <c r="A182" s="6"/>
      <c r="B182" s="7" t="s">
        <v>629</v>
      </c>
      <c r="C182" s="7" t="s">
        <v>60</v>
      </c>
      <c r="D182" s="7" t="s">
        <v>164</v>
      </c>
      <c r="E182" s="7" t="s">
        <v>699</v>
      </c>
      <c r="F182" s="8" t="s">
        <v>700</v>
      </c>
      <c r="G182" s="9" t="n">
        <f aca="false">DATE(2000+VALUE(MID(F182,7,2)),VALUE(MID(F182,4,2)),VALUE(LEFT(F182,2)))</f>
        <v>45468</v>
      </c>
      <c r="H182" s="8" t="s">
        <v>696</v>
      </c>
      <c r="I182" s="9" t="n">
        <f aca="false">DATE(2000+VALUE(MID(H182,7,2)),VALUE(MID(H182,4,2)),VALUE(LEFT(H182,2)))</f>
        <v>45468</v>
      </c>
      <c r="J182" s="9"/>
      <c r="K182" s="10" t="n">
        <v>500000</v>
      </c>
      <c r="L182" s="10" t="n">
        <v>0</v>
      </c>
      <c r="M182" s="10" t="n">
        <v>500000</v>
      </c>
      <c r="N182" s="10" t="n">
        <v>0</v>
      </c>
      <c r="O182" s="10" t="n">
        <v>500000</v>
      </c>
      <c r="P182" s="10" t="n">
        <v>0</v>
      </c>
      <c r="Q182" s="10" t="n">
        <v>0</v>
      </c>
      <c r="R182" s="10" t="n">
        <v>0</v>
      </c>
      <c r="S182" s="10" t="n">
        <v>0</v>
      </c>
      <c r="T182" s="7"/>
      <c r="U182" s="7"/>
      <c r="V182" s="7"/>
      <c r="W182" s="7" t="s">
        <v>43</v>
      </c>
      <c r="X182" s="7"/>
      <c r="Y182" s="7" t="s">
        <v>37</v>
      </c>
      <c r="Z182" s="7" t="s">
        <v>701</v>
      </c>
      <c r="AA182" s="7"/>
      <c r="AB182" s="10" t="n">
        <v>500000</v>
      </c>
      <c r="AC182" s="10" t="n">
        <v>1</v>
      </c>
    </row>
    <row r="183" customFormat="false" ht="15.75" hidden="true" customHeight="true" outlineLevel="0" collapsed="false">
      <c r="A183" s="6"/>
      <c r="B183" s="7" t="s">
        <v>702</v>
      </c>
      <c r="C183" s="7" t="s">
        <v>60</v>
      </c>
      <c r="D183" s="7" t="s">
        <v>164</v>
      </c>
      <c r="E183" s="7" t="s">
        <v>703</v>
      </c>
      <c r="F183" s="8" t="s">
        <v>704</v>
      </c>
      <c r="G183" s="9" t="n">
        <f aca="false">DATE(2000+VALUE(MID(F183,7,2)),VALUE(MID(F183,4,2)),VALUE(LEFT(F183,2)))</f>
        <v>45468</v>
      </c>
      <c r="H183" s="8" t="s">
        <v>705</v>
      </c>
      <c r="I183" s="9" t="n">
        <f aca="false">DATE(2000+VALUE(MID(H183,7,2)),VALUE(MID(H183,4,2)),VALUE(LEFT(H183,2)))</f>
        <v>45468</v>
      </c>
      <c r="J183" s="9"/>
      <c r="K183" s="10" t="n">
        <v>400000</v>
      </c>
      <c r="L183" s="10" t="n">
        <v>0</v>
      </c>
      <c r="M183" s="10" t="n">
        <v>400000</v>
      </c>
      <c r="N183" s="10" t="n">
        <v>0</v>
      </c>
      <c r="O183" s="10" t="n">
        <v>400000</v>
      </c>
      <c r="P183" s="10" t="n">
        <v>0</v>
      </c>
      <c r="Q183" s="10" t="n">
        <v>0</v>
      </c>
      <c r="R183" s="10" t="n">
        <v>0</v>
      </c>
      <c r="S183" s="10" t="n">
        <v>0</v>
      </c>
      <c r="T183" s="7"/>
      <c r="U183" s="7"/>
      <c r="V183" s="7"/>
      <c r="W183" s="7" t="s">
        <v>43</v>
      </c>
      <c r="X183" s="7"/>
      <c r="Y183" s="7" t="s">
        <v>37</v>
      </c>
      <c r="Z183" s="7" t="s">
        <v>706</v>
      </c>
      <c r="AA183" s="7"/>
      <c r="AB183" s="10" t="n">
        <v>400000</v>
      </c>
      <c r="AC183" s="10" t="n">
        <v>1</v>
      </c>
    </row>
    <row r="184" customFormat="false" ht="15.75" hidden="true" customHeight="true" outlineLevel="0" collapsed="false">
      <c r="A184" s="6"/>
      <c r="B184" s="7" t="s">
        <v>554</v>
      </c>
      <c r="C184" s="7" t="s">
        <v>60</v>
      </c>
      <c r="D184" s="7" t="s">
        <v>173</v>
      </c>
      <c r="E184" s="7" t="s">
        <v>707</v>
      </c>
      <c r="F184" s="8" t="s">
        <v>708</v>
      </c>
      <c r="G184" s="9" t="n">
        <f aca="false">DATE(2000+VALUE(MID(F184,7,2)),VALUE(MID(F184,4,2)),VALUE(LEFT(F184,2)))</f>
        <v>45467</v>
      </c>
      <c r="H184" s="8" t="s">
        <v>709</v>
      </c>
      <c r="I184" s="9" t="n">
        <f aca="false">DATE(2000+VALUE(MID(H184,7,2)),VALUE(MID(H184,4,2)),VALUE(LEFT(H184,2)))</f>
        <v>45469</v>
      </c>
      <c r="J184" s="9"/>
      <c r="K184" s="10" t="n">
        <v>1150000</v>
      </c>
      <c r="L184" s="10" t="n">
        <v>0</v>
      </c>
      <c r="M184" s="10" t="n">
        <v>1150000</v>
      </c>
      <c r="N184" s="10" t="n">
        <v>0</v>
      </c>
      <c r="O184" s="10" t="n">
        <v>650000</v>
      </c>
      <c r="P184" s="10" t="n">
        <v>0</v>
      </c>
      <c r="Q184" s="10" t="n">
        <v>500000</v>
      </c>
      <c r="R184" s="10" t="n">
        <v>0</v>
      </c>
      <c r="S184" s="10" t="n">
        <v>0</v>
      </c>
      <c r="T184" s="7"/>
      <c r="U184" s="7"/>
      <c r="V184" s="7"/>
      <c r="W184" s="7" t="s">
        <v>43</v>
      </c>
      <c r="X184" s="7"/>
      <c r="Y184" s="7" t="s">
        <v>37</v>
      </c>
      <c r="Z184" s="7" t="s">
        <v>164</v>
      </c>
      <c r="AA184" s="7"/>
      <c r="AB184" s="10" t="n">
        <v>575000</v>
      </c>
      <c r="AC184" s="10" t="n">
        <v>2</v>
      </c>
    </row>
    <row r="185" customFormat="false" ht="15.75" hidden="true" customHeight="true" outlineLevel="0" collapsed="false">
      <c r="A185" s="6"/>
      <c r="B185" s="7" t="s">
        <v>710</v>
      </c>
      <c r="C185" s="7" t="s">
        <v>60</v>
      </c>
      <c r="D185" s="7" t="s">
        <v>116</v>
      </c>
      <c r="E185" s="7" t="s">
        <v>711</v>
      </c>
      <c r="F185" s="8" t="s">
        <v>712</v>
      </c>
      <c r="G185" s="9" t="n">
        <f aca="false">DATE(2000+VALUE(MID(F185,7,2)),VALUE(MID(F185,4,2)),VALUE(LEFT(F185,2)))</f>
        <v>45465</v>
      </c>
      <c r="H185" s="8" t="s">
        <v>713</v>
      </c>
      <c r="I185" s="9" t="n">
        <f aca="false">DATE(2000+VALUE(MID(H185,7,2)),VALUE(MID(H185,4,2)),VALUE(LEFT(H185,2)))</f>
        <v>45469</v>
      </c>
      <c r="J185" s="9"/>
      <c r="K185" s="10" t="n">
        <v>2183760</v>
      </c>
      <c r="L185" s="10" t="n">
        <v>0</v>
      </c>
      <c r="M185" s="10" t="n">
        <v>2183760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2183760</v>
      </c>
      <c r="S185" s="10" t="n">
        <v>0</v>
      </c>
      <c r="T185" s="7"/>
      <c r="U185" s="7"/>
      <c r="V185" s="7"/>
      <c r="W185" s="7" t="s">
        <v>49</v>
      </c>
      <c r="X185" s="7"/>
      <c r="Y185" s="7" t="s">
        <v>37</v>
      </c>
      <c r="Z185" s="7" t="s">
        <v>573</v>
      </c>
      <c r="AA185" s="7" t="s">
        <v>714</v>
      </c>
      <c r="AB185" s="10" t="n">
        <v>545940</v>
      </c>
      <c r="AC185" s="10" t="n">
        <v>4</v>
      </c>
    </row>
    <row r="186" customFormat="false" ht="15.75" hidden="true" customHeight="true" outlineLevel="0" collapsed="false">
      <c r="A186" s="6"/>
      <c r="B186" s="7" t="s">
        <v>596</v>
      </c>
      <c r="C186" s="7" t="s">
        <v>65</v>
      </c>
      <c r="D186" s="7" t="s">
        <v>82</v>
      </c>
      <c r="E186" s="7" t="s">
        <v>715</v>
      </c>
      <c r="F186" s="8" t="s">
        <v>716</v>
      </c>
      <c r="G186" s="9" t="n">
        <f aca="false">DATE(2000+VALUE(MID(F186,7,2)),VALUE(MID(F186,4,2)),VALUE(LEFT(F186,2)))</f>
        <v>45467</v>
      </c>
      <c r="H186" s="8" t="s">
        <v>717</v>
      </c>
      <c r="I186" s="9" t="n">
        <f aca="false">DATE(2000+VALUE(MID(H186,7,2)),VALUE(MID(H186,4,2)),VALUE(LEFT(H186,2)))</f>
        <v>45469</v>
      </c>
      <c r="J186" s="9"/>
      <c r="K186" s="10" t="n">
        <v>1098000</v>
      </c>
      <c r="L186" s="10" t="n">
        <v>0</v>
      </c>
      <c r="M186" s="10" t="n">
        <v>988200</v>
      </c>
      <c r="N186" s="10" t="n">
        <v>0</v>
      </c>
      <c r="O186" s="10" t="n">
        <v>488200</v>
      </c>
      <c r="P186" s="10" t="n">
        <v>0</v>
      </c>
      <c r="Q186" s="10" t="n">
        <v>500000</v>
      </c>
      <c r="R186" s="10" t="n">
        <v>0</v>
      </c>
      <c r="S186" s="10" t="n">
        <v>0</v>
      </c>
      <c r="T186" s="7"/>
      <c r="U186" s="7"/>
      <c r="V186" s="7"/>
      <c r="W186" s="7" t="s">
        <v>43</v>
      </c>
      <c r="X186" s="7"/>
      <c r="Y186" s="7" t="s">
        <v>37</v>
      </c>
      <c r="Z186" s="7" t="s">
        <v>718</v>
      </c>
      <c r="AA186" s="7" t="s">
        <v>719</v>
      </c>
      <c r="AB186" s="10" t="n">
        <v>549000</v>
      </c>
      <c r="AC186" s="10" t="n">
        <v>2</v>
      </c>
    </row>
    <row r="187" customFormat="false" ht="15.75" hidden="true" customHeight="true" outlineLevel="0" collapsed="false">
      <c r="A187" s="6"/>
      <c r="B187" s="7" t="s">
        <v>720</v>
      </c>
      <c r="C187" s="7" t="s">
        <v>65</v>
      </c>
      <c r="D187" s="7" t="s">
        <v>96</v>
      </c>
      <c r="E187" s="7" t="s">
        <v>721</v>
      </c>
      <c r="F187" s="8" t="s">
        <v>722</v>
      </c>
      <c r="G187" s="9" t="n">
        <f aca="false">DATE(2000+VALUE(MID(F187,7,2)),VALUE(MID(F187,4,2)),VALUE(LEFT(F187,2)))</f>
        <v>45465</v>
      </c>
      <c r="H187" s="8" t="s">
        <v>723</v>
      </c>
      <c r="I187" s="9" t="n">
        <f aca="false">DATE(2000+VALUE(MID(H187,7,2)),VALUE(MID(H187,4,2)),VALUE(LEFT(H187,2)))</f>
        <v>45470</v>
      </c>
      <c r="J187" s="9"/>
      <c r="K187" s="10" t="n">
        <v>2470000</v>
      </c>
      <c r="L187" s="10" t="n">
        <v>0</v>
      </c>
      <c r="M187" s="10" t="n">
        <v>2470000</v>
      </c>
      <c r="N187" s="10" t="n">
        <v>0</v>
      </c>
      <c r="O187" s="10" t="n">
        <v>0</v>
      </c>
      <c r="P187" s="10" t="n">
        <v>0</v>
      </c>
      <c r="Q187" s="10" t="n">
        <v>2470000</v>
      </c>
      <c r="R187" s="10" t="n">
        <v>0</v>
      </c>
      <c r="S187" s="10" t="n">
        <v>0</v>
      </c>
      <c r="T187" s="7"/>
      <c r="U187" s="7"/>
      <c r="V187" s="7"/>
      <c r="W187" s="7" t="s">
        <v>43</v>
      </c>
      <c r="X187" s="7"/>
      <c r="Y187" s="7" t="s">
        <v>37</v>
      </c>
      <c r="Z187" s="7" t="s">
        <v>724</v>
      </c>
      <c r="AA187" s="7"/>
      <c r="AB187" s="10" t="n">
        <v>494000</v>
      </c>
      <c r="AC187" s="10" t="n">
        <v>5</v>
      </c>
    </row>
    <row r="188" customFormat="false" ht="15.75" hidden="true" customHeight="true" outlineLevel="0" collapsed="false">
      <c r="A188" s="6"/>
      <c r="B188" s="7" t="s">
        <v>725</v>
      </c>
      <c r="C188" s="7" t="s">
        <v>60</v>
      </c>
      <c r="D188" s="7" t="s">
        <v>61</v>
      </c>
      <c r="E188" s="7" t="s">
        <v>726</v>
      </c>
      <c r="F188" s="8" t="s">
        <v>727</v>
      </c>
      <c r="G188" s="9" t="n">
        <f aca="false">DATE(2000+VALUE(MID(F188,7,2)),VALUE(MID(F188,4,2)),VALUE(LEFT(F188,2)))</f>
        <v>45468</v>
      </c>
      <c r="H188" s="8" t="s">
        <v>728</v>
      </c>
      <c r="I188" s="9" t="n">
        <f aca="false">DATE(2000+VALUE(MID(H188,7,2)),VALUE(MID(H188,4,2)),VALUE(LEFT(H188,2)))</f>
        <v>45470</v>
      </c>
      <c r="J188" s="9"/>
      <c r="K188" s="10" t="n">
        <v>1100000</v>
      </c>
      <c r="L188" s="10" t="n">
        <v>0</v>
      </c>
      <c r="M188" s="10" t="n">
        <v>1100000</v>
      </c>
      <c r="N188" s="10" t="n">
        <v>0</v>
      </c>
      <c r="O188" s="10" t="n">
        <v>0</v>
      </c>
      <c r="P188" s="10" t="n">
        <v>0</v>
      </c>
      <c r="Q188" s="10" t="n">
        <v>1100000</v>
      </c>
      <c r="R188" s="10" t="n">
        <v>0</v>
      </c>
      <c r="S188" s="10" t="n">
        <v>0</v>
      </c>
      <c r="T188" s="7"/>
      <c r="U188" s="7"/>
      <c r="V188" s="7"/>
      <c r="W188" s="7" t="s">
        <v>43</v>
      </c>
      <c r="X188" s="7"/>
      <c r="Y188" s="7" t="s">
        <v>37</v>
      </c>
      <c r="Z188" s="7" t="s">
        <v>729</v>
      </c>
      <c r="AA188" s="7"/>
      <c r="AB188" s="10" t="n">
        <v>550000</v>
      </c>
      <c r="AC188" s="10" t="n">
        <v>2</v>
      </c>
    </row>
    <row r="189" customFormat="false" ht="15.75" hidden="true" customHeight="true" outlineLevel="0" collapsed="false">
      <c r="A189" s="6"/>
      <c r="B189" s="7" t="s">
        <v>164</v>
      </c>
      <c r="C189" s="7" t="s">
        <v>60</v>
      </c>
      <c r="D189" s="7" t="s">
        <v>116</v>
      </c>
      <c r="E189" s="7" t="s">
        <v>730</v>
      </c>
      <c r="F189" s="8" t="s">
        <v>731</v>
      </c>
      <c r="G189" s="9" t="n">
        <f aca="false">DATE(2000+VALUE(MID(F189,7,2)),VALUE(MID(F189,4,2)),VALUE(LEFT(F189,2)))</f>
        <v>45469</v>
      </c>
      <c r="H189" s="8" t="s">
        <v>732</v>
      </c>
      <c r="I189" s="9" t="n">
        <f aca="false">DATE(2000+VALUE(MID(H189,7,2)),VALUE(MID(H189,4,2)),VALUE(LEFT(H189,2)))</f>
        <v>45470</v>
      </c>
      <c r="J189" s="9"/>
      <c r="K189" s="10" t="n">
        <v>500000</v>
      </c>
      <c r="L189" s="10" t="n">
        <v>0</v>
      </c>
      <c r="M189" s="10" t="n">
        <v>500000</v>
      </c>
      <c r="N189" s="10" t="n">
        <v>0</v>
      </c>
      <c r="O189" s="10" t="n">
        <v>500000</v>
      </c>
      <c r="P189" s="10" t="n">
        <v>0</v>
      </c>
      <c r="Q189" s="10" t="n">
        <v>0</v>
      </c>
      <c r="R189" s="10" t="n">
        <v>0</v>
      </c>
      <c r="S189" s="10" t="n">
        <v>0</v>
      </c>
      <c r="T189" s="7"/>
      <c r="U189" s="7"/>
      <c r="V189" s="7"/>
      <c r="W189" s="7" t="s">
        <v>36</v>
      </c>
      <c r="X189" s="7"/>
      <c r="Y189" s="7" t="s">
        <v>37</v>
      </c>
      <c r="Z189" s="7" t="s">
        <v>733</v>
      </c>
      <c r="AA189" s="7"/>
      <c r="AB189" s="10" t="n">
        <v>500000</v>
      </c>
      <c r="AC189" s="10" t="n">
        <v>1</v>
      </c>
    </row>
    <row r="190" customFormat="false" ht="15.75" hidden="true" customHeight="true" outlineLevel="0" collapsed="false">
      <c r="A190" s="6"/>
      <c r="B190" s="7" t="s">
        <v>577</v>
      </c>
      <c r="C190" s="7" t="s">
        <v>65</v>
      </c>
      <c r="D190" s="7" t="s">
        <v>76</v>
      </c>
      <c r="E190" s="7" t="s">
        <v>734</v>
      </c>
      <c r="F190" s="8" t="s">
        <v>735</v>
      </c>
      <c r="G190" s="9" t="n">
        <f aca="false">DATE(2000+VALUE(MID(F190,7,2)),VALUE(MID(F190,4,2)),VALUE(LEFT(F190,2)))</f>
        <v>45463</v>
      </c>
      <c r="H190" s="8" t="s">
        <v>736</v>
      </c>
      <c r="I190" s="9" t="n">
        <f aca="false">DATE(2000+VALUE(MID(H190,7,2)),VALUE(MID(H190,4,2)),VALUE(LEFT(H190,2)))</f>
        <v>45470</v>
      </c>
      <c r="J190" s="9"/>
      <c r="K190" s="10" t="n">
        <v>3094000</v>
      </c>
      <c r="L190" s="10" t="n">
        <v>0</v>
      </c>
      <c r="M190" s="10" t="n">
        <v>3094000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3094000</v>
      </c>
      <c r="S190" s="10" t="n">
        <v>0</v>
      </c>
      <c r="T190" s="7"/>
      <c r="U190" s="7"/>
      <c r="V190" s="7"/>
      <c r="W190" s="7" t="s">
        <v>49</v>
      </c>
      <c r="X190" s="7"/>
      <c r="Y190" s="7" t="s">
        <v>37</v>
      </c>
      <c r="Z190" s="7" t="s">
        <v>680</v>
      </c>
      <c r="AA190" s="7" t="s">
        <v>737</v>
      </c>
      <c r="AB190" s="10" t="n">
        <v>442000</v>
      </c>
      <c r="AC190" s="10" t="n">
        <v>7</v>
      </c>
    </row>
    <row r="191" customFormat="false" ht="15.75" hidden="true" customHeight="true" outlineLevel="0" collapsed="false">
      <c r="A191" s="6"/>
      <c r="B191" s="7" t="s">
        <v>96</v>
      </c>
      <c r="C191" s="7" t="s">
        <v>71</v>
      </c>
      <c r="D191" s="7" t="s">
        <v>72</v>
      </c>
      <c r="E191" s="7" t="s">
        <v>738</v>
      </c>
      <c r="F191" s="8" t="s">
        <v>739</v>
      </c>
      <c r="G191" s="9" t="n">
        <f aca="false">DATE(2000+VALUE(MID(F191,7,2)),VALUE(MID(F191,4,2)),VALUE(LEFT(F191,2)))</f>
        <v>45470</v>
      </c>
      <c r="H191" s="8" t="s">
        <v>740</v>
      </c>
      <c r="I191" s="9" t="n">
        <f aca="false">DATE(2000+VALUE(MID(H191,7,2)),VALUE(MID(H191,4,2)),VALUE(LEFT(H191,2)))</f>
        <v>45471</v>
      </c>
      <c r="J191" s="9"/>
      <c r="K191" s="10" t="n">
        <v>543600</v>
      </c>
      <c r="L191" s="10" t="n">
        <v>0</v>
      </c>
      <c r="M191" s="10" t="n">
        <v>543600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543600</v>
      </c>
      <c r="S191" s="10" t="n">
        <v>0</v>
      </c>
      <c r="T191" s="7"/>
      <c r="U191" s="7"/>
      <c r="V191" s="7"/>
      <c r="W191" s="7" t="s">
        <v>49</v>
      </c>
      <c r="X191" s="7"/>
      <c r="Y191" s="7" t="s">
        <v>37</v>
      </c>
      <c r="Z191" s="7" t="s">
        <v>741</v>
      </c>
      <c r="AA191" s="7" t="s">
        <v>742</v>
      </c>
      <c r="AB191" s="10" t="n">
        <v>543600</v>
      </c>
      <c r="AC191" s="10" t="n">
        <v>1</v>
      </c>
    </row>
    <row r="192" customFormat="false" ht="15.75" hidden="true" customHeight="true" outlineLevel="0" collapsed="false">
      <c r="A192" s="6"/>
      <c r="B192" s="7" t="s">
        <v>743</v>
      </c>
      <c r="C192" s="7" t="s">
        <v>65</v>
      </c>
      <c r="D192" s="7" t="s">
        <v>82</v>
      </c>
      <c r="E192" s="7" t="s">
        <v>744</v>
      </c>
      <c r="F192" s="8" t="s">
        <v>745</v>
      </c>
      <c r="G192" s="9" t="n">
        <f aca="false">DATE(2000+VALUE(MID(F192,7,2)),VALUE(MID(F192,4,2)),VALUE(LEFT(F192,2)))</f>
        <v>45469</v>
      </c>
      <c r="H192" s="8" t="s">
        <v>746</v>
      </c>
      <c r="I192" s="9" t="n">
        <f aca="false">DATE(2000+VALUE(MID(H192,7,2)),VALUE(MID(H192,4,2)),VALUE(LEFT(H192,2)))</f>
        <v>45471</v>
      </c>
      <c r="J192" s="9"/>
      <c r="K192" s="10" t="n">
        <v>927484</v>
      </c>
      <c r="L192" s="10" t="n">
        <v>0</v>
      </c>
      <c r="M192" s="10" t="n">
        <v>927484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927484</v>
      </c>
      <c r="S192" s="10" t="n">
        <v>0</v>
      </c>
      <c r="T192" s="7"/>
      <c r="U192" s="7"/>
      <c r="V192" s="7"/>
      <c r="W192" s="7" t="s">
        <v>49</v>
      </c>
      <c r="X192" s="7"/>
      <c r="Y192" s="7" t="s">
        <v>37</v>
      </c>
      <c r="Z192" s="7" t="s">
        <v>747</v>
      </c>
      <c r="AA192" s="7" t="s">
        <v>748</v>
      </c>
      <c r="AB192" s="10" t="n">
        <v>463742</v>
      </c>
      <c r="AC192" s="10" t="n">
        <v>2</v>
      </c>
    </row>
    <row r="193" customFormat="false" ht="15.75" hidden="true" customHeight="true" outlineLevel="0" collapsed="false">
      <c r="A193" s="6"/>
      <c r="B193" s="7" t="s">
        <v>587</v>
      </c>
      <c r="C193" s="7" t="s">
        <v>71</v>
      </c>
      <c r="D193" s="7" t="s">
        <v>92</v>
      </c>
      <c r="E193" s="7" t="s">
        <v>749</v>
      </c>
      <c r="F193" s="8" t="s">
        <v>739</v>
      </c>
      <c r="G193" s="9" t="n">
        <f aca="false">DATE(2000+VALUE(MID(F193,7,2)),VALUE(MID(F193,4,2)),VALUE(LEFT(F193,2)))</f>
        <v>45470</v>
      </c>
      <c r="H193" s="8" t="s">
        <v>750</v>
      </c>
      <c r="I193" s="9" t="n">
        <f aca="false">DATE(2000+VALUE(MID(H193,7,2)),VALUE(MID(H193,4,2)),VALUE(LEFT(H193,2)))</f>
        <v>45471</v>
      </c>
      <c r="J193" s="9"/>
      <c r="K193" s="10" t="n">
        <v>500000</v>
      </c>
      <c r="L193" s="10" t="n">
        <v>0</v>
      </c>
      <c r="M193" s="10" t="n">
        <v>500000</v>
      </c>
      <c r="N193" s="10" t="n">
        <v>0</v>
      </c>
      <c r="O193" s="10" t="n">
        <v>0</v>
      </c>
      <c r="P193" s="10" t="n">
        <v>0</v>
      </c>
      <c r="Q193" s="10" t="n">
        <v>500000</v>
      </c>
      <c r="R193" s="10" t="n">
        <v>0</v>
      </c>
      <c r="S193" s="10" t="n">
        <v>0</v>
      </c>
      <c r="T193" s="7"/>
      <c r="U193" s="7"/>
      <c r="V193" s="7"/>
      <c r="W193" s="7" t="s">
        <v>43</v>
      </c>
      <c r="X193" s="7"/>
      <c r="Y193" s="7" t="s">
        <v>37</v>
      </c>
      <c r="Z193" s="7" t="s">
        <v>751</v>
      </c>
      <c r="AA193" s="7"/>
      <c r="AB193" s="10" t="n">
        <v>500000</v>
      </c>
      <c r="AC193" s="10" t="n">
        <v>1</v>
      </c>
    </row>
    <row r="194" customFormat="false" ht="15.75" hidden="true" customHeight="true" outlineLevel="0" collapsed="false">
      <c r="A194" s="6"/>
      <c r="B194" s="7" t="s">
        <v>752</v>
      </c>
      <c r="C194" s="7" t="s">
        <v>31</v>
      </c>
      <c r="D194" s="7" t="s">
        <v>440</v>
      </c>
      <c r="E194" s="7" t="s">
        <v>753</v>
      </c>
      <c r="F194" s="8" t="s">
        <v>754</v>
      </c>
      <c r="G194" s="9" t="n">
        <f aca="false">DATE(2000+VALUE(MID(F194,7,2)),VALUE(MID(F194,4,2)),VALUE(LEFT(F194,2)))</f>
        <v>45468</v>
      </c>
      <c r="H194" s="8" t="s">
        <v>755</v>
      </c>
      <c r="I194" s="9" t="n">
        <f aca="false">DATE(2000+VALUE(MID(H194,7,2)),VALUE(MID(H194,4,2)),VALUE(LEFT(H194,2)))</f>
        <v>45471</v>
      </c>
      <c r="J194" s="9"/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0</v>
      </c>
      <c r="T194" s="7"/>
      <c r="U194" s="7"/>
      <c r="V194" s="7"/>
      <c r="W194" s="7" t="s">
        <v>36</v>
      </c>
      <c r="X194" s="7"/>
      <c r="Y194" s="7" t="s">
        <v>37</v>
      </c>
      <c r="Z194" s="7" t="s">
        <v>756</v>
      </c>
      <c r="AA194" s="7"/>
      <c r="AB194" s="10" t="n">
        <v>0</v>
      </c>
      <c r="AC194" s="10" t="n">
        <v>3</v>
      </c>
    </row>
    <row r="195" customFormat="false" ht="15.75" hidden="true" customHeight="true" outlineLevel="0" collapsed="false">
      <c r="A195" s="6"/>
      <c r="B195" s="7" t="s">
        <v>614</v>
      </c>
      <c r="C195" s="7" t="s">
        <v>65</v>
      </c>
      <c r="D195" s="7" t="s">
        <v>96</v>
      </c>
      <c r="E195" s="7" t="s">
        <v>757</v>
      </c>
      <c r="F195" s="8" t="s">
        <v>758</v>
      </c>
      <c r="G195" s="9" t="n">
        <f aca="false">DATE(2000+VALUE(MID(F195,7,2)),VALUE(MID(F195,4,2)),VALUE(LEFT(F195,2)))</f>
        <v>45470</v>
      </c>
      <c r="H195" s="8" t="s">
        <v>759</v>
      </c>
      <c r="I195" s="9" t="n">
        <f aca="false">DATE(2000+VALUE(MID(H195,7,2)),VALUE(MID(H195,4,2)),VALUE(LEFT(H195,2)))</f>
        <v>45471</v>
      </c>
      <c r="J195" s="9"/>
      <c r="K195" s="10" t="n">
        <v>495000</v>
      </c>
      <c r="L195" s="10" t="n">
        <v>150000</v>
      </c>
      <c r="M195" s="10" t="n">
        <v>645000</v>
      </c>
      <c r="N195" s="10" t="n">
        <v>0</v>
      </c>
      <c r="O195" s="10" t="n">
        <v>150000</v>
      </c>
      <c r="P195" s="10" t="n">
        <v>0</v>
      </c>
      <c r="Q195" s="10" t="n">
        <v>495000</v>
      </c>
      <c r="R195" s="10" t="n">
        <v>0</v>
      </c>
      <c r="S195" s="10" t="n">
        <v>0</v>
      </c>
      <c r="T195" s="7"/>
      <c r="U195" s="7"/>
      <c r="V195" s="7"/>
      <c r="W195" s="7" t="s">
        <v>43</v>
      </c>
      <c r="X195" s="7"/>
      <c r="Y195" s="7" t="s">
        <v>37</v>
      </c>
      <c r="Z195" s="7" t="s">
        <v>760</v>
      </c>
      <c r="AA195" s="7"/>
      <c r="AB195" s="10" t="n">
        <v>495000</v>
      </c>
      <c r="AC195" s="10" t="n">
        <v>1</v>
      </c>
    </row>
    <row r="196" customFormat="false" ht="15.75" hidden="true" customHeight="true" outlineLevel="0" collapsed="false">
      <c r="A196" s="6"/>
      <c r="B196" s="7" t="s">
        <v>614</v>
      </c>
      <c r="C196" s="7" t="s">
        <v>60</v>
      </c>
      <c r="D196" s="7" t="s">
        <v>61</v>
      </c>
      <c r="E196" s="7" t="s">
        <v>761</v>
      </c>
      <c r="F196" s="8" t="s">
        <v>758</v>
      </c>
      <c r="G196" s="9" t="n">
        <f aca="false">DATE(2000+VALUE(MID(F196,7,2)),VALUE(MID(F196,4,2)),VALUE(LEFT(F196,2)))</f>
        <v>45470</v>
      </c>
      <c r="H196" s="8" t="s">
        <v>759</v>
      </c>
      <c r="I196" s="9" t="n">
        <f aca="false">DATE(2000+VALUE(MID(H196,7,2)),VALUE(MID(H196,4,2)),VALUE(LEFT(H196,2)))</f>
        <v>45471</v>
      </c>
      <c r="J196" s="9"/>
      <c r="K196" s="10" t="n">
        <v>495000</v>
      </c>
      <c r="L196" s="10" t="n">
        <v>0</v>
      </c>
      <c r="M196" s="10" t="n">
        <v>495000</v>
      </c>
      <c r="N196" s="10" t="n">
        <v>0</v>
      </c>
      <c r="O196" s="10" t="n">
        <v>0</v>
      </c>
      <c r="P196" s="10" t="n">
        <v>0</v>
      </c>
      <c r="Q196" s="10" t="n">
        <v>495000</v>
      </c>
      <c r="R196" s="10" t="n">
        <v>0</v>
      </c>
      <c r="S196" s="10" t="n">
        <v>0</v>
      </c>
      <c r="T196" s="7"/>
      <c r="U196" s="7"/>
      <c r="V196" s="7"/>
      <c r="W196" s="7" t="s">
        <v>43</v>
      </c>
      <c r="X196" s="7"/>
      <c r="Y196" s="7" t="s">
        <v>37</v>
      </c>
      <c r="Z196" s="7" t="s">
        <v>762</v>
      </c>
      <c r="AA196" s="7"/>
      <c r="AB196" s="10" t="n">
        <v>495000</v>
      </c>
      <c r="AC196" s="10" t="n">
        <v>1</v>
      </c>
    </row>
    <row r="197" customFormat="false" ht="15.75" hidden="true" customHeight="true" outlineLevel="0" collapsed="false">
      <c r="A197" s="6"/>
      <c r="B197" s="7" t="s">
        <v>624</v>
      </c>
      <c r="C197" s="7" t="s">
        <v>60</v>
      </c>
      <c r="D197" s="7" t="s">
        <v>173</v>
      </c>
      <c r="E197" s="7" t="s">
        <v>763</v>
      </c>
      <c r="F197" s="8" t="s">
        <v>764</v>
      </c>
      <c r="G197" s="9" t="n">
        <f aca="false">DATE(2000+VALUE(MID(F197,7,2)),VALUE(MID(F197,4,2)),VALUE(LEFT(F197,2)))</f>
        <v>45470</v>
      </c>
      <c r="H197" s="8" t="s">
        <v>765</v>
      </c>
      <c r="I197" s="9" t="n">
        <f aca="false">DATE(2000+VALUE(MID(H197,7,2)),VALUE(MID(H197,4,2)),VALUE(LEFT(H197,2)))</f>
        <v>45471</v>
      </c>
      <c r="J197" s="9"/>
      <c r="K197" s="10" t="n">
        <v>495000</v>
      </c>
      <c r="L197" s="10" t="n">
        <v>0</v>
      </c>
      <c r="M197" s="10" t="n">
        <v>495000</v>
      </c>
      <c r="N197" s="10" t="n">
        <v>0</v>
      </c>
      <c r="O197" s="10" t="n">
        <v>295000</v>
      </c>
      <c r="P197" s="10" t="n">
        <v>0</v>
      </c>
      <c r="Q197" s="10" t="n">
        <v>200000</v>
      </c>
      <c r="R197" s="10" t="n">
        <v>0</v>
      </c>
      <c r="S197" s="10" t="n">
        <v>0</v>
      </c>
      <c r="T197" s="7"/>
      <c r="U197" s="7"/>
      <c r="V197" s="7"/>
      <c r="W197" s="7" t="s">
        <v>43</v>
      </c>
      <c r="X197" s="7"/>
      <c r="Y197" s="7" t="s">
        <v>37</v>
      </c>
      <c r="Z197" s="7" t="s">
        <v>766</v>
      </c>
      <c r="AA197" s="7"/>
      <c r="AB197" s="10" t="n">
        <v>495000</v>
      </c>
      <c r="AC197" s="10" t="n">
        <v>1</v>
      </c>
    </row>
    <row r="198" customFormat="false" ht="15.75" hidden="false" customHeight="true" outlineLevel="0" collapsed="false">
      <c r="A198" s="6"/>
      <c r="B198" s="7" t="s">
        <v>684</v>
      </c>
      <c r="C198" s="7" t="s">
        <v>31</v>
      </c>
      <c r="D198" s="7" t="s">
        <v>337</v>
      </c>
      <c r="E198" s="7" t="s">
        <v>763</v>
      </c>
      <c r="F198" s="8" t="s">
        <v>767</v>
      </c>
      <c r="G198" s="9" t="n">
        <f aca="false">DATE(2000+VALUE(MID(F198,7,2)),VALUE(MID(F198,4,2)),VALUE(LEFT(F198,2)))</f>
        <v>45471</v>
      </c>
      <c r="H198" s="8" t="s">
        <v>768</v>
      </c>
      <c r="I198" s="9" t="n">
        <f aca="false">DATE(2000+VALUE(MID(H198,7,2)),VALUE(MID(H198,4,2)),VALUE(LEFT(H198,2)))</f>
        <v>45472</v>
      </c>
      <c r="J198" s="9"/>
      <c r="K198" s="10" t="n">
        <v>550000</v>
      </c>
      <c r="L198" s="10" t="n">
        <v>0</v>
      </c>
      <c r="M198" s="10" t="n">
        <v>550000</v>
      </c>
      <c r="N198" s="10" t="n">
        <v>0</v>
      </c>
      <c r="O198" s="10" t="n">
        <v>550000</v>
      </c>
      <c r="P198" s="10" t="n">
        <v>0</v>
      </c>
      <c r="Q198" s="10" t="n">
        <v>0</v>
      </c>
      <c r="R198" s="10" t="n">
        <v>0</v>
      </c>
      <c r="S198" s="10" t="n">
        <v>0</v>
      </c>
      <c r="T198" s="7"/>
      <c r="U198" s="7"/>
      <c r="V198" s="7"/>
      <c r="W198" s="7" t="s">
        <v>43</v>
      </c>
      <c r="X198" s="7"/>
      <c r="Y198" s="7" t="s">
        <v>37</v>
      </c>
      <c r="Z198" s="7" t="s">
        <v>769</v>
      </c>
      <c r="AA198" s="7"/>
      <c r="AB198" s="10" t="n">
        <v>550000</v>
      </c>
      <c r="AC198" s="10" t="n">
        <v>1</v>
      </c>
    </row>
    <row r="199" customFormat="false" ht="15.75" hidden="true" customHeight="true" outlineLevel="0" collapsed="false">
      <c r="A199" s="6"/>
      <c r="B199" s="7" t="s">
        <v>724</v>
      </c>
      <c r="C199" s="7" t="s">
        <v>71</v>
      </c>
      <c r="D199" s="7" t="s">
        <v>72</v>
      </c>
      <c r="E199" s="7" t="s">
        <v>202</v>
      </c>
      <c r="F199" s="8" t="s">
        <v>770</v>
      </c>
      <c r="G199" s="9" t="n">
        <f aca="false">DATE(2000+VALUE(MID(F199,7,2)),VALUE(MID(F199,4,2)),VALUE(LEFT(F199,2)))</f>
        <v>45471</v>
      </c>
      <c r="H199" s="8" t="s">
        <v>771</v>
      </c>
      <c r="I199" s="9" t="n">
        <f aca="false">DATE(2000+VALUE(MID(H199,7,2)),VALUE(MID(H199,4,2)),VALUE(LEFT(H199,2)))</f>
        <v>45472</v>
      </c>
      <c r="J199" s="9"/>
      <c r="K199" s="10" t="n">
        <v>350000</v>
      </c>
      <c r="L199" s="10" t="n">
        <v>0</v>
      </c>
      <c r="M199" s="10" t="n">
        <v>350000</v>
      </c>
      <c r="N199" s="10" t="n">
        <v>0</v>
      </c>
      <c r="O199" s="10" t="n">
        <v>350000</v>
      </c>
      <c r="P199" s="10" t="n">
        <v>0</v>
      </c>
      <c r="Q199" s="10" t="n">
        <v>0</v>
      </c>
      <c r="R199" s="10" t="n">
        <v>0</v>
      </c>
      <c r="S199" s="10" t="n">
        <v>0</v>
      </c>
      <c r="T199" s="7"/>
      <c r="U199" s="7"/>
      <c r="V199" s="7"/>
      <c r="W199" s="7" t="s">
        <v>43</v>
      </c>
      <c r="X199" s="7"/>
      <c r="Y199" s="7" t="s">
        <v>37</v>
      </c>
      <c r="Z199" s="7" t="s">
        <v>772</v>
      </c>
      <c r="AA199" s="7"/>
      <c r="AB199" s="10" t="n">
        <v>350000</v>
      </c>
      <c r="AC199" s="10" t="n">
        <v>1</v>
      </c>
    </row>
    <row r="200" customFormat="false" ht="15.75" hidden="true" customHeight="true" outlineLevel="0" collapsed="false">
      <c r="A200" s="6"/>
      <c r="B200" s="7" t="s">
        <v>671</v>
      </c>
      <c r="C200" s="7" t="s">
        <v>60</v>
      </c>
      <c r="D200" s="7" t="s">
        <v>116</v>
      </c>
      <c r="E200" s="7" t="s">
        <v>773</v>
      </c>
      <c r="F200" s="8" t="s">
        <v>739</v>
      </c>
      <c r="G200" s="9" t="n">
        <f aca="false">DATE(2000+VALUE(MID(F200,7,2)),VALUE(MID(F200,4,2)),VALUE(LEFT(F200,2)))</f>
        <v>45470</v>
      </c>
      <c r="H200" s="8" t="s">
        <v>774</v>
      </c>
      <c r="I200" s="9" t="n">
        <f aca="false">DATE(2000+VALUE(MID(H200,7,2)),VALUE(MID(H200,4,2)),VALUE(LEFT(H200,2)))</f>
        <v>45472</v>
      </c>
      <c r="J200" s="9"/>
      <c r="K200" s="10" t="n">
        <v>1132560</v>
      </c>
      <c r="L200" s="10" t="n">
        <v>0</v>
      </c>
      <c r="M200" s="10" t="n">
        <v>1132560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1132560</v>
      </c>
      <c r="S200" s="10" t="n">
        <v>0</v>
      </c>
      <c r="T200" s="7"/>
      <c r="U200" s="7"/>
      <c r="V200" s="7"/>
      <c r="W200" s="7" t="s">
        <v>49</v>
      </c>
      <c r="X200" s="7"/>
      <c r="Y200" s="7" t="s">
        <v>37</v>
      </c>
      <c r="Z200" s="7" t="s">
        <v>775</v>
      </c>
      <c r="AA200" s="7" t="s">
        <v>776</v>
      </c>
      <c r="AB200" s="10" t="n">
        <v>566280</v>
      </c>
      <c r="AC200" s="10" t="n">
        <v>2</v>
      </c>
    </row>
    <row r="201" customFormat="false" ht="15.75" hidden="true" customHeight="true" outlineLevel="0" collapsed="false">
      <c r="A201" s="6"/>
      <c r="B201" s="7" t="s">
        <v>777</v>
      </c>
      <c r="C201" s="7" t="s">
        <v>71</v>
      </c>
      <c r="D201" s="7" t="s">
        <v>92</v>
      </c>
      <c r="E201" s="7" t="s">
        <v>753</v>
      </c>
      <c r="F201" s="8" t="s">
        <v>778</v>
      </c>
      <c r="G201" s="9" t="n">
        <f aca="false">DATE(2000+VALUE(MID(F201,7,2)),VALUE(MID(F201,4,2)),VALUE(LEFT(F201,2)))</f>
        <v>45471</v>
      </c>
      <c r="H201" s="8" t="s">
        <v>774</v>
      </c>
      <c r="I201" s="9" t="n">
        <f aca="false">DATE(2000+VALUE(MID(H201,7,2)),VALUE(MID(H201,4,2)),VALUE(LEFT(H201,2)))</f>
        <v>45472</v>
      </c>
      <c r="J201" s="9"/>
      <c r="K201" s="10" t="n">
        <v>629000</v>
      </c>
      <c r="L201" s="10" t="n">
        <v>0</v>
      </c>
      <c r="M201" s="10" t="n">
        <v>629000</v>
      </c>
      <c r="N201" s="10" t="n">
        <v>0</v>
      </c>
      <c r="O201" s="10" t="n">
        <v>329000</v>
      </c>
      <c r="P201" s="10" t="n">
        <v>0</v>
      </c>
      <c r="Q201" s="10" t="n">
        <v>300000</v>
      </c>
      <c r="R201" s="10" t="n">
        <v>0</v>
      </c>
      <c r="S201" s="10" t="n">
        <v>0</v>
      </c>
      <c r="T201" s="7"/>
      <c r="U201" s="7"/>
      <c r="V201" s="7"/>
      <c r="W201" s="7" t="s">
        <v>43</v>
      </c>
      <c r="X201" s="7"/>
      <c r="Y201" s="7" t="s">
        <v>37</v>
      </c>
      <c r="Z201" s="7" t="s">
        <v>779</v>
      </c>
      <c r="AA201" s="7"/>
      <c r="AB201" s="10" t="n">
        <v>629000</v>
      </c>
      <c r="AC201" s="10" t="n">
        <v>1</v>
      </c>
    </row>
    <row r="202" customFormat="false" ht="15.75" hidden="true" customHeight="true" outlineLevel="0" collapsed="false">
      <c r="A202" s="6"/>
      <c r="B202" s="7" t="s">
        <v>780</v>
      </c>
      <c r="C202" s="7" t="s">
        <v>31</v>
      </c>
      <c r="D202" s="7" t="s">
        <v>32</v>
      </c>
      <c r="E202" s="7" t="s">
        <v>781</v>
      </c>
      <c r="F202" s="8" t="s">
        <v>782</v>
      </c>
      <c r="G202" s="9" t="n">
        <f aca="false">DATE(2000+VALUE(MID(F202,7,2)),VALUE(MID(F202,4,2)),VALUE(LEFT(F202,2)))</f>
        <v>45470</v>
      </c>
      <c r="H202" s="8" t="s">
        <v>783</v>
      </c>
      <c r="I202" s="9" t="n">
        <f aca="false">DATE(2000+VALUE(MID(H202,7,2)),VALUE(MID(H202,4,2)),VALUE(LEFT(H202,2)))</f>
        <v>45473</v>
      </c>
      <c r="J202" s="9"/>
      <c r="K202" s="10" t="n">
        <v>2025000</v>
      </c>
      <c r="L202" s="10" t="n">
        <v>0</v>
      </c>
      <c r="M202" s="10" t="n">
        <v>2025000</v>
      </c>
      <c r="N202" s="10" t="n">
        <v>0</v>
      </c>
      <c r="O202" s="10" t="n">
        <v>1350000</v>
      </c>
      <c r="P202" s="10" t="n">
        <v>0</v>
      </c>
      <c r="Q202" s="10" t="n">
        <v>675000</v>
      </c>
      <c r="R202" s="10" t="n">
        <v>0</v>
      </c>
      <c r="S202" s="10" t="n">
        <v>0</v>
      </c>
      <c r="T202" s="7"/>
      <c r="U202" s="7"/>
      <c r="V202" s="7"/>
      <c r="W202" s="7" t="s">
        <v>43</v>
      </c>
      <c r="X202" s="7"/>
      <c r="Y202" s="7" t="s">
        <v>37</v>
      </c>
      <c r="Z202" s="7" t="s">
        <v>784</v>
      </c>
      <c r="AA202" s="7"/>
      <c r="AB202" s="10" t="n">
        <v>675000</v>
      </c>
      <c r="AC202" s="10" t="n">
        <v>3</v>
      </c>
    </row>
    <row r="203" customFormat="false" ht="15.75" hidden="true" customHeight="true" outlineLevel="0" collapsed="false">
      <c r="A203" s="6"/>
      <c r="B203" s="7" t="s">
        <v>698</v>
      </c>
      <c r="C203" s="7" t="s">
        <v>60</v>
      </c>
      <c r="D203" s="7" t="s">
        <v>116</v>
      </c>
      <c r="E203" s="7" t="s">
        <v>785</v>
      </c>
      <c r="F203" s="8" t="s">
        <v>786</v>
      </c>
      <c r="G203" s="9" t="n">
        <f aca="false">DATE(2000+VALUE(MID(F203,7,2)),VALUE(MID(F203,4,2)),VALUE(LEFT(F203,2)))</f>
        <v>45472</v>
      </c>
      <c r="H203" s="8" t="s">
        <v>783</v>
      </c>
      <c r="I203" s="9" t="n">
        <f aca="false">DATE(2000+VALUE(MID(H203,7,2)),VALUE(MID(H203,4,2)),VALUE(LEFT(H203,2)))</f>
        <v>45473</v>
      </c>
      <c r="J203" s="9"/>
      <c r="K203" s="10" t="n">
        <v>400000</v>
      </c>
      <c r="L203" s="10" t="n">
        <v>0</v>
      </c>
      <c r="M203" s="10" t="n">
        <v>400000</v>
      </c>
      <c r="N203" s="10" t="n">
        <v>0</v>
      </c>
      <c r="O203" s="10" t="n">
        <v>400000</v>
      </c>
      <c r="P203" s="10" t="n">
        <v>0</v>
      </c>
      <c r="Q203" s="10" t="n">
        <v>0</v>
      </c>
      <c r="R203" s="10" t="n">
        <v>0</v>
      </c>
      <c r="S203" s="10" t="n">
        <v>0</v>
      </c>
      <c r="T203" s="7"/>
      <c r="U203" s="7"/>
      <c r="V203" s="7"/>
      <c r="W203" s="7" t="s">
        <v>43</v>
      </c>
      <c r="X203" s="7"/>
      <c r="Y203" s="7" t="s">
        <v>37</v>
      </c>
      <c r="Z203" s="7" t="s">
        <v>787</v>
      </c>
      <c r="AA203" s="7"/>
      <c r="AB203" s="10" t="n">
        <v>400000</v>
      </c>
      <c r="AC203" s="10" t="n">
        <v>1</v>
      </c>
    </row>
    <row r="204" customFormat="false" ht="15.75" hidden="true" customHeight="true" outlineLevel="0" collapsed="false">
      <c r="A204" s="6"/>
      <c r="B204" s="7" t="s">
        <v>718</v>
      </c>
      <c r="C204" s="7" t="s">
        <v>60</v>
      </c>
      <c r="D204" s="7" t="s">
        <v>173</v>
      </c>
      <c r="E204" s="7" t="s">
        <v>788</v>
      </c>
      <c r="F204" s="8" t="s">
        <v>789</v>
      </c>
      <c r="G204" s="9" t="n">
        <f aca="false">DATE(2000+VALUE(MID(F204,7,2)),VALUE(MID(F204,4,2)),VALUE(LEFT(F204,2)))</f>
        <v>45472</v>
      </c>
      <c r="H204" s="8" t="s">
        <v>790</v>
      </c>
      <c r="I204" s="9" t="n">
        <f aca="false">DATE(2000+VALUE(MID(H204,7,2)),VALUE(MID(H204,4,2)),VALUE(LEFT(H204,2)))</f>
        <v>45473</v>
      </c>
      <c r="J204" s="9"/>
      <c r="K204" s="10" t="n">
        <v>585000</v>
      </c>
      <c r="L204" s="10" t="n">
        <v>0</v>
      </c>
      <c r="M204" s="10" t="n">
        <v>585000</v>
      </c>
      <c r="N204" s="10" t="n">
        <v>0</v>
      </c>
      <c r="O204" s="10" t="n">
        <v>0</v>
      </c>
      <c r="P204" s="10" t="n">
        <v>0</v>
      </c>
      <c r="Q204" s="10" t="n">
        <v>585000</v>
      </c>
      <c r="R204" s="10" t="n">
        <v>0</v>
      </c>
      <c r="S204" s="10" t="n">
        <v>0</v>
      </c>
      <c r="T204" s="7"/>
      <c r="U204" s="7"/>
      <c r="V204" s="7"/>
      <c r="W204" s="7" t="s">
        <v>43</v>
      </c>
      <c r="X204" s="7"/>
      <c r="Y204" s="7" t="s">
        <v>37</v>
      </c>
      <c r="Z204" s="7" t="s">
        <v>791</v>
      </c>
      <c r="AA204" s="7"/>
      <c r="AB204" s="10" t="n">
        <v>585000</v>
      </c>
      <c r="AC204" s="10" t="n">
        <v>1</v>
      </c>
    </row>
    <row r="205" customFormat="false" ht="15.75" hidden="true" customHeight="true" outlineLevel="0" collapsed="false">
      <c r="A205" s="6"/>
      <c r="B205" s="7" t="s">
        <v>361</v>
      </c>
      <c r="C205" s="7" t="s">
        <v>65</v>
      </c>
      <c r="D205" s="7" t="s">
        <v>82</v>
      </c>
      <c r="E205" s="7" t="s">
        <v>792</v>
      </c>
      <c r="F205" s="8" t="s">
        <v>793</v>
      </c>
      <c r="G205" s="9" t="n">
        <f aca="false">DATE(2000+VALUE(MID(F205,7,2)),VALUE(MID(F205,4,2)),VALUE(LEFT(F205,2)))</f>
        <v>45472</v>
      </c>
      <c r="H205" s="8" t="s">
        <v>794</v>
      </c>
      <c r="I205" s="9" t="n">
        <f aca="false">DATE(2000+VALUE(MID(H205,7,2)),VALUE(MID(H205,4,2)),VALUE(LEFT(H205,2)))</f>
        <v>45473</v>
      </c>
      <c r="J205" s="9"/>
      <c r="K205" s="10" t="n">
        <v>875600</v>
      </c>
      <c r="L205" s="10" t="n">
        <v>0</v>
      </c>
      <c r="M205" s="10" t="n">
        <v>875600</v>
      </c>
      <c r="N205" s="10" t="n">
        <v>0</v>
      </c>
      <c r="O205" s="10" t="n">
        <v>350000</v>
      </c>
      <c r="P205" s="10" t="n">
        <v>0</v>
      </c>
      <c r="Q205" s="10" t="n">
        <v>0</v>
      </c>
      <c r="R205" s="10" t="n">
        <v>525600</v>
      </c>
      <c r="S205" s="10" t="n">
        <v>0</v>
      </c>
      <c r="T205" s="7"/>
      <c r="U205" s="7"/>
      <c r="V205" s="7"/>
      <c r="W205" s="7" t="s">
        <v>49</v>
      </c>
      <c r="X205" s="7"/>
      <c r="Y205" s="7" t="s">
        <v>37</v>
      </c>
      <c r="Z205" s="7" t="s">
        <v>795</v>
      </c>
      <c r="AA205" s="7" t="s">
        <v>796</v>
      </c>
      <c r="AB205" s="10" t="n">
        <v>875600</v>
      </c>
      <c r="AC205" s="10" t="n">
        <v>1</v>
      </c>
    </row>
    <row r="206" customFormat="false" ht="15.75" hidden="true" customHeight="true" outlineLevel="0" collapsed="false">
      <c r="A206" s="6"/>
      <c r="B206" s="7" t="s">
        <v>797</v>
      </c>
      <c r="C206" s="7" t="s">
        <v>60</v>
      </c>
      <c r="D206" s="7" t="s">
        <v>61</v>
      </c>
      <c r="E206" s="7" t="s">
        <v>798</v>
      </c>
      <c r="F206" s="8" t="s">
        <v>799</v>
      </c>
      <c r="G206" s="9" t="n">
        <f aca="false">DATE(2000+VALUE(MID(F206,7,2)),VALUE(MID(F206,4,2)),VALUE(LEFT(F206,2)))</f>
        <v>45471</v>
      </c>
      <c r="H206" s="8" t="s">
        <v>794</v>
      </c>
      <c r="I206" s="9" t="n">
        <f aca="false">DATE(2000+VALUE(MID(H206,7,2)),VALUE(MID(H206,4,2)),VALUE(LEFT(H206,2)))</f>
        <v>45473</v>
      </c>
      <c r="J206" s="9"/>
      <c r="K206" s="10" t="n">
        <v>1424160</v>
      </c>
      <c r="L206" s="10" t="n">
        <v>0</v>
      </c>
      <c r="M206" s="10" t="n">
        <v>1424160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1424160</v>
      </c>
      <c r="S206" s="10" t="n">
        <v>0</v>
      </c>
      <c r="T206" s="7"/>
      <c r="U206" s="7"/>
      <c r="V206" s="7"/>
      <c r="W206" s="7" t="s">
        <v>49</v>
      </c>
      <c r="X206" s="7"/>
      <c r="Y206" s="7" t="s">
        <v>37</v>
      </c>
      <c r="Z206" s="7" t="s">
        <v>800</v>
      </c>
      <c r="AA206" s="7" t="s">
        <v>801</v>
      </c>
      <c r="AB206" s="10" t="n">
        <v>712080</v>
      </c>
      <c r="AC206" s="10" t="n">
        <v>2</v>
      </c>
    </row>
    <row r="207" customFormat="false" ht="15.75" hidden="true" customHeight="true" outlineLevel="0" collapsed="false">
      <c r="A207" s="6"/>
      <c r="B207" s="7" t="s">
        <v>802</v>
      </c>
      <c r="C207" s="7" t="s">
        <v>31</v>
      </c>
      <c r="D207" s="7" t="s">
        <v>39</v>
      </c>
      <c r="E207" s="7" t="s">
        <v>803</v>
      </c>
      <c r="F207" s="8" t="s">
        <v>804</v>
      </c>
      <c r="G207" s="9" t="n">
        <f aca="false">DATE(2000+VALUE(MID(F207,7,2)),VALUE(MID(F207,4,2)),VALUE(LEFT(F207,2)))</f>
        <v>45472</v>
      </c>
      <c r="H207" s="8" t="s">
        <v>794</v>
      </c>
      <c r="I207" s="9" t="n">
        <f aca="false">DATE(2000+VALUE(MID(H207,7,2)),VALUE(MID(H207,4,2)),VALUE(LEFT(H207,2)))</f>
        <v>45473</v>
      </c>
      <c r="J207" s="9"/>
      <c r="K207" s="10" t="n">
        <v>850000</v>
      </c>
      <c r="L207" s="10" t="n">
        <v>0</v>
      </c>
      <c r="M207" s="10" t="n">
        <v>850000</v>
      </c>
      <c r="N207" s="10" t="n">
        <v>0</v>
      </c>
      <c r="O207" s="10" t="n">
        <v>400000</v>
      </c>
      <c r="P207" s="10" t="n">
        <v>0</v>
      </c>
      <c r="Q207" s="10" t="n">
        <v>450000</v>
      </c>
      <c r="R207" s="10" t="n">
        <v>0</v>
      </c>
      <c r="S207" s="10" t="n">
        <v>0</v>
      </c>
      <c r="T207" s="7"/>
      <c r="U207" s="7"/>
      <c r="V207" s="7"/>
      <c r="W207" s="7" t="s">
        <v>43</v>
      </c>
      <c r="X207" s="7"/>
      <c r="Y207" s="7" t="s">
        <v>37</v>
      </c>
      <c r="Z207" s="7" t="s">
        <v>805</v>
      </c>
      <c r="AA207" s="7"/>
      <c r="AB207" s="10" t="n">
        <v>850000</v>
      </c>
      <c r="AC207" s="10" t="n">
        <v>1</v>
      </c>
    </row>
    <row r="208" customFormat="false" ht="15.75" hidden="true" customHeight="true" outlineLevel="0" collapsed="false">
      <c r="A208" s="6"/>
      <c r="B208" s="7" t="s">
        <v>806</v>
      </c>
      <c r="C208" s="7" t="s">
        <v>71</v>
      </c>
      <c r="D208" s="7" t="s">
        <v>92</v>
      </c>
      <c r="E208" s="7" t="s">
        <v>807</v>
      </c>
      <c r="F208" s="8" t="s">
        <v>808</v>
      </c>
      <c r="G208" s="9" t="n">
        <f aca="false">DATE(2000+VALUE(MID(F208,7,2)),VALUE(MID(F208,4,2)),VALUE(LEFT(F208,2)))</f>
        <v>45473</v>
      </c>
      <c r="H208" s="8" t="s">
        <v>809</v>
      </c>
      <c r="I208" s="9" t="n">
        <f aca="false">DATE(2000+VALUE(MID(H208,7,2)),VALUE(MID(H208,4,2)),VALUE(LEFT(H208,2)))</f>
        <v>45474</v>
      </c>
      <c r="J208" s="9"/>
      <c r="K208" s="10" t="n">
        <v>300000</v>
      </c>
      <c r="L208" s="10" t="n">
        <v>0</v>
      </c>
      <c r="M208" s="10" t="n">
        <v>300000</v>
      </c>
      <c r="N208" s="10" t="n">
        <v>0</v>
      </c>
      <c r="O208" s="10" t="n">
        <v>300000</v>
      </c>
      <c r="P208" s="10" t="n">
        <v>0</v>
      </c>
      <c r="Q208" s="10" t="n">
        <v>0</v>
      </c>
      <c r="R208" s="10" t="n">
        <v>0</v>
      </c>
      <c r="S208" s="10" t="n">
        <v>0</v>
      </c>
      <c r="T208" s="7"/>
      <c r="U208" s="7"/>
      <c r="V208" s="7"/>
      <c r="W208" s="7" t="s">
        <v>43</v>
      </c>
      <c r="X208" s="7"/>
      <c r="Y208" s="7" t="s">
        <v>37</v>
      </c>
      <c r="Z208" s="7" t="s">
        <v>810</v>
      </c>
      <c r="AA208" s="7"/>
      <c r="AB208" s="10" t="n">
        <v>300000</v>
      </c>
      <c r="AC208" s="10" t="n">
        <v>1</v>
      </c>
    </row>
    <row r="209" customFormat="false" ht="15.75" hidden="true" customHeight="true" outlineLevel="0" collapsed="false">
      <c r="A209" s="6"/>
      <c r="B209" s="7" t="s">
        <v>527</v>
      </c>
      <c r="C209" s="7" t="s">
        <v>31</v>
      </c>
      <c r="D209" s="7" t="s">
        <v>45</v>
      </c>
      <c r="E209" s="7" t="s">
        <v>811</v>
      </c>
      <c r="F209" s="8" t="s">
        <v>812</v>
      </c>
      <c r="G209" s="9" t="n">
        <f aca="false">DATE(2000+VALUE(MID(F209,7,2)),VALUE(MID(F209,4,2)),VALUE(LEFT(F209,2)))</f>
        <v>45472</v>
      </c>
      <c r="H209" s="8" t="s">
        <v>813</v>
      </c>
      <c r="I209" s="9" t="n">
        <f aca="false">DATE(2000+VALUE(MID(H209,7,2)),VALUE(MID(H209,4,2)),VALUE(LEFT(H209,2)))</f>
        <v>45474</v>
      </c>
      <c r="J209" s="9"/>
      <c r="K209" s="10" t="n">
        <v>1415732</v>
      </c>
      <c r="L209" s="10" t="n">
        <v>0</v>
      </c>
      <c r="M209" s="10" t="n">
        <v>1415732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1415732</v>
      </c>
      <c r="S209" s="10" t="n">
        <v>0</v>
      </c>
      <c r="T209" s="7"/>
      <c r="U209" s="7"/>
      <c r="V209" s="7"/>
      <c r="W209" s="7" t="s">
        <v>49</v>
      </c>
      <c r="X209" s="7"/>
      <c r="Y209" s="7" t="s">
        <v>37</v>
      </c>
      <c r="Z209" s="7" t="s">
        <v>96</v>
      </c>
      <c r="AA209" s="7" t="s">
        <v>814</v>
      </c>
      <c r="AB209" s="10" t="n">
        <v>707866</v>
      </c>
      <c r="AC209" s="10" t="n">
        <v>2</v>
      </c>
    </row>
    <row r="210" customFormat="false" ht="15.75" hidden="true" customHeight="true" outlineLevel="0" collapsed="false">
      <c r="A210" s="6"/>
      <c r="B210" s="7" t="s">
        <v>542</v>
      </c>
      <c r="C210" s="7" t="s">
        <v>65</v>
      </c>
      <c r="D210" s="7" t="s">
        <v>82</v>
      </c>
      <c r="E210" s="7" t="s">
        <v>815</v>
      </c>
      <c r="F210" s="8" t="s">
        <v>816</v>
      </c>
      <c r="G210" s="9" t="n">
        <f aca="false">DATE(2000+VALUE(MID(F210,7,2)),VALUE(MID(F210,4,2)),VALUE(LEFT(F210,2)))</f>
        <v>45473</v>
      </c>
      <c r="H210" s="8" t="s">
        <v>817</v>
      </c>
      <c r="I210" s="9" t="n">
        <f aca="false">DATE(2000+VALUE(MID(H210,7,2)),VALUE(MID(H210,4,2)),VALUE(LEFT(H210,2)))</f>
        <v>45474</v>
      </c>
      <c r="J210" s="9"/>
      <c r="K210" s="10" t="n">
        <v>494000</v>
      </c>
      <c r="L210" s="10" t="n">
        <v>200000</v>
      </c>
      <c r="M210" s="10" t="n">
        <v>694000</v>
      </c>
      <c r="N210" s="10" t="n">
        <v>0</v>
      </c>
      <c r="O210" s="10" t="n">
        <v>0</v>
      </c>
      <c r="P210" s="10" t="n">
        <v>0</v>
      </c>
      <c r="Q210" s="10" t="n">
        <v>500000</v>
      </c>
      <c r="R210" s="10" t="n">
        <v>194000</v>
      </c>
      <c r="S210" s="10" t="n">
        <v>0</v>
      </c>
      <c r="T210" s="7"/>
      <c r="U210" s="7"/>
      <c r="V210" s="7"/>
      <c r="W210" s="7" t="s">
        <v>43</v>
      </c>
      <c r="X210" s="7"/>
      <c r="Y210" s="7" t="s">
        <v>37</v>
      </c>
      <c r="Z210" s="7" t="s">
        <v>818</v>
      </c>
      <c r="AA210" s="7"/>
      <c r="AB210" s="10" t="n">
        <v>494000</v>
      </c>
      <c r="AC210" s="10" t="n">
        <v>1</v>
      </c>
    </row>
    <row r="211" customFormat="false" ht="15.75" hidden="true" customHeight="true" outlineLevel="0" collapsed="false">
      <c r="A211" s="6"/>
      <c r="B211" s="7" t="s">
        <v>819</v>
      </c>
      <c r="C211" s="7" t="s">
        <v>71</v>
      </c>
      <c r="D211" s="7" t="s">
        <v>72</v>
      </c>
      <c r="E211" s="7" t="s">
        <v>820</v>
      </c>
      <c r="F211" s="8" t="s">
        <v>821</v>
      </c>
      <c r="G211" s="9" t="n">
        <f aca="false">DATE(2000+VALUE(MID(F211,7,2)),VALUE(MID(F211,4,2)),VALUE(LEFT(F211,2)))</f>
        <v>45472</v>
      </c>
      <c r="H211" s="8" t="s">
        <v>822</v>
      </c>
      <c r="I211" s="9" t="n">
        <f aca="false">DATE(2000+VALUE(MID(H211,7,2)),VALUE(MID(H211,4,2)),VALUE(LEFT(H211,2)))</f>
        <v>45474</v>
      </c>
      <c r="J211" s="9"/>
      <c r="K211" s="10" t="n">
        <v>1260000</v>
      </c>
      <c r="L211" s="10" t="n">
        <v>0</v>
      </c>
      <c r="M211" s="10" t="n">
        <v>1260000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1260000</v>
      </c>
      <c r="S211" s="10" t="n">
        <v>0</v>
      </c>
      <c r="T211" s="7"/>
      <c r="U211" s="7"/>
      <c r="V211" s="7"/>
      <c r="W211" s="7" t="s">
        <v>43</v>
      </c>
      <c r="X211" s="7"/>
      <c r="Y211" s="7" t="s">
        <v>37</v>
      </c>
      <c r="Z211" s="7" t="s">
        <v>823</v>
      </c>
      <c r="AA211" s="7"/>
      <c r="AB211" s="10" t="n">
        <v>630000</v>
      </c>
      <c r="AC211" s="10" t="n">
        <v>2</v>
      </c>
    </row>
    <row r="212" customFormat="false" ht="15.75" hidden="true" customHeight="true" outlineLevel="0" collapsed="false">
      <c r="A212" s="6"/>
      <c r="B212" s="7" t="s">
        <v>693</v>
      </c>
      <c r="C212" s="7" t="s">
        <v>60</v>
      </c>
      <c r="D212" s="7" t="s">
        <v>116</v>
      </c>
      <c r="E212" s="7" t="s">
        <v>726</v>
      </c>
      <c r="F212" s="8" t="s">
        <v>824</v>
      </c>
      <c r="G212" s="9" t="n">
        <f aca="false">DATE(2000+VALUE(MID(F212,7,2)),VALUE(MID(F212,4,2)),VALUE(LEFT(F212,2)))</f>
        <v>45473</v>
      </c>
      <c r="H212" s="8" t="s">
        <v>822</v>
      </c>
      <c r="I212" s="9" t="n">
        <f aca="false">DATE(2000+VALUE(MID(H212,7,2)),VALUE(MID(H212,4,2)),VALUE(LEFT(H212,2)))</f>
        <v>45474</v>
      </c>
      <c r="J212" s="9"/>
      <c r="K212" s="10" t="n">
        <v>1000000</v>
      </c>
      <c r="L212" s="10" t="n">
        <v>0</v>
      </c>
      <c r="M212" s="10" t="n">
        <v>1000000</v>
      </c>
      <c r="N212" s="10" t="n">
        <v>0</v>
      </c>
      <c r="O212" s="10" t="n">
        <v>1000000</v>
      </c>
      <c r="P212" s="10" t="n">
        <v>0</v>
      </c>
      <c r="Q212" s="10" t="n">
        <v>0</v>
      </c>
      <c r="R212" s="10" t="n">
        <v>0</v>
      </c>
      <c r="S212" s="10" t="n">
        <v>0</v>
      </c>
      <c r="T212" s="7"/>
      <c r="U212" s="7"/>
      <c r="V212" s="7"/>
      <c r="W212" s="7" t="s">
        <v>43</v>
      </c>
      <c r="X212" s="7"/>
      <c r="Y212" s="7" t="s">
        <v>37</v>
      </c>
      <c r="Z212" s="7" t="s">
        <v>825</v>
      </c>
      <c r="AA212" s="7"/>
      <c r="AB212" s="10" t="n">
        <v>1000000</v>
      </c>
      <c r="AC212" s="10" t="n">
        <v>1</v>
      </c>
    </row>
    <row r="213" customFormat="false" ht="15.75" hidden="true" customHeight="true" outlineLevel="0" collapsed="false">
      <c r="A213" s="6"/>
      <c r="B213" s="7" t="s">
        <v>675</v>
      </c>
      <c r="C213" s="7" t="s">
        <v>31</v>
      </c>
      <c r="D213" s="7" t="s">
        <v>32</v>
      </c>
      <c r="E213" s="7" t="s">
        <v>826</v>
      </c>
      <c r="F213" s="8" t="s">
        <v>827</v>
      </c>
      <c r="G213" s="9" t="n">
        <f aca="false">DATE(2000+VALUE(MID(F213,7,2)),VALUE(MID(F213,4,2)),VALUE(LEFT(F213,2)))</f>
        <v>45473</v>
      </c>
      <c r="H213" s="8" t="s">
        <v>828</v>
      </c>
      <c r="I213" s="9" t="n">
        <f aca="false">DATE(2000+VALUE(MID(H213,7,2)),VALUE(MID(H213,4,2)),VALUE(LEFT(H213,2)))</f>
        <v>45475</v>
      </c>
      <c r="J213" s="9"/>
      <c r="K213" s="10" t="n">
        <v>1400000</v>
      </c>
      <c r="L213" s="10" t="n">
        <v>0</v>
      </c>
      <c r="M213" s="10" t="n">
        <v>1400000</v>
      </c>
      <c r="N213" s="10" t="n">
        <v>0</v>
      </c>
      <c r="O213" s="10" t="n">
        <v>1400000</v>
      </c>
      <c r="P213" s="10" t="n">
        <v>0</v>
      </c>
      <c r="Q213" s="10" t="n">
        <v>0</v>
      </c>
      <c r="R213" s="10" t="n">
        <v>0</v>
      </c>
      <c r="S213" s="10" t="n">
        <v>0</v>
      </c>
      <c r="T213" s="7"/>
      <c r="U213" s="7"/>
      <c r="V213" s="7"/>
      <c r="W213" s="7" t="s">
        <v>43</v>
      </c>
      <c r="X213" s="7"/>
      <c r="Y213" s="7" t="s">
        <v>37</v>
      </c>
      <c r="Z213" s="7" t="s">
        <v>829</v>
      </c>
      <c r="AA213" s="7"/>
      <c r="AB213" s="10" t="n">
        <v>700000</v>
      </c>
      <c r="AC213" s="10" t="n">
        <v>2</v>
      </c>
    </row>
    <row r="214" customFormat="false" ht="15.75" hidden="true" customHeight="true" outlineLevel="0" collapsed="false">
      <c r="A214" s="6"/>
      <c r="B214" s="7" t="s">
        <v>675</v>
      </c>
      <c r="C214" s="7" t="s">
        <v>31</v>
      </c>
      <c r="D214" s="7" t="s">
        <v>39</v>
      </c>
      <c r="E214" s="7" t="s">
        <v>202</v>
      </c>
      <c r="F214" s="8" t="s">
        <v>827</v>
      </c>
      <c r="G214" s="9" t="n">
        <f aca="false">DATE(2000+VALUE(MID(F214,7,2)),VALUE(MID(F214,4,2)),VALUE(LEFT(F214,2)))</f>
        <v>45473</v>
      </c>
      <c r="H214" s="8" t="s">
        <v>828</v>
      </c>
      <c r="I214" s="9" t="n">
        <f aca="false">DATE(2000+VALUE(MID(H214,7,2)),VALUE(MID(H214,4,2)),VALUE(LEFT(H214,2)))</f>
        <v>45475</v>
      </c>
      <c r="J214" s="9"/>
      <c r="K214" s="10" t="n">
        <v>1400000</v>
      </c>
      <c r="L214" s="10" t="n">
        <v>0</v>
      </c>
      <c r="M214" s="10" t="n">
        <v>1400000</v>
      </c>
      <c r="N214" s="10" t="n">
        <v>0</v>
      </c>
      <c r="O214" s="10" t="n">
        <v>1400000</v>
      </c>
      <c r="P214" s="10" t="n">
        <v>0</v>
      </c>
      <c r="Q214" s="10" t="n">
        <v>0</v>
      </c>
      <c r="R214" s="10" t="n">
        <v>0</v>
      </c>
      <c r="S214" s="10" t="n">
        <v>0</v>
      </c>
      <c r="T214" s="7"/>
      <c r="U214" s="7"/>
      <c r="V214" s="7"/>
      <c r="W214" s="7" t="s">
        <v>43</v>
      </c>
      <c r="X214" s="7"/>
      <c r="Y214" s="7" t="s">
        <v>37</v>
      </c>
      <c r="Z214" s="7" t="s">
        <v>830</v>
      </c>
      <c r="AA214" s="7"/>
      <c r="AB214" s="10" t="n">
        <v>700000</v>
      </c>
      <c r="AC214" s="10" t="n">
        <v>2</v>
      </c>
    </row>
    <row r="215" customFormat="false" ht="15.75" hidden="true" customHeight="true" outlineLevel="0" collapsed="false">
      <c r="A215" s="6"/>
      <c r="B215" s="7" t="s">
        <v>831</v>
      </c>
      <c r="C215" s="7" t="s">
        <v>71</v>
      </c>
      <c r="D215" s="7" t="s">
        <v>92</v>
      </c>
      <c r="E215" s="7" t="s">
        <v>820</v>
      </c>
      <c r="F215" s="8" t="s">
        <v>832</v>
      </c>
      <c r="G215" s="9" t="n">
        <f aca="false">DATE(2000+VALUE(MID(F215,7,2)),VALUE(MID(F215,4,2)),VALUE(LEFT(F215,2)))</f>
        <v>45474</v>
      </c>
      <c r="H215" s="8" t="s">
        <v>833</v>
      </c>
      <c r="I215" s="9" t="n">
        <f aca="false">DATE(2000+VALUE(MID(H215,7,2)),VALUE(MID(H215,4,2)),VALUE(LEFT(H215,2)))</f>
        <v>45475</v>
      </c>
      <c r="J215" s="9"/>
      <c r="K215" s="10" t="n">
        <v>585000</v>
      </c>
      <c r="L215" s="10" t="n">
        <v>0</v>
      </c>
      <c r="M215" s="10" t="n">
        <v>585000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585000</v>
      </c>
      <c r="S215" s="10" t="n">
        <v>0</v>
      </c>
      <c r="T215" s="7"/>
      <c r="U215" s="7"/>
      <c r="V215" s="7"/>
      <c r="W215" s="7" t="s">
        <v>43</v>
      </c>
      <c r="X215" s="7"/>
      <c r="Y215" s="7" t="s">
        <v>37</v>
      </c>
      <c r="Z215" s="7" t="s">
        <v>834</v>
      </c>
      <c r="AA215" s="7"/>
      <c r="AB215" s="10" t="n">
        <v>585000</v>
      </c>
      <c r="AC215" s="10" t="n">
        <v>1</v>
      </c>
    </row>
    <row r="216" customFormat="false" ht="15.75" hidden="true" customHeight="true" outlineLevel="0" collapsed="false">
      <c r="A216" s="6"/>
      <c r="B216" s="7" t="s">
        <v>697</v>
      </c>
      <c r="C216" s="7" t="s">
        <v>31</v>
      </c>
      <c r="D216" s="7" t="s">
        <v>361</v>
      </c>
      <c r="E216" s="7" t="s">
        <v>835</v>
      </c>
      <c r="F216" s="8" t="s">
        <v>836</v>
      </c>
      <c r="G216" s="9" t="n">
        <f aca="false">DATE(2000+VALUE(MID(F216,7,2)),VALUE(MID(F216,4,2)),VALUE(LEFT(F216,2)))</f>
        <v>45472</v>
      </c>
      <c r="H216" s="8" t="s">
        <v>837</v>
      </c>
      <c r="I216" s="9" t="n">
        <f aca="false">DATE(2000+VALUE(MID(H216,7,2)),VALUE(MID(H216,4,2)),VALUE(LEFT(H216,2)))</f>
        <v>45475</v>
      </c>
      <c r="J216" s="9"/>
      <c r="K216" s="10" t="n">
        <v>2797000</v>
      </c>
      <c r="L216" s="10" t="n">
        <v>160000</v>
      </c>
      <c r="M216" s="10" t="n">
        <v>2677300</v>
      </c>
      <c r="N216" s="10" t="n">
        <v>0</v>
      </c>
      <c r="O216" s="10" t="n">
        <v>160000</v>
      </c>
      <c r="P216" s="10" t="n">
        <v>0</v>
      </c>
      <c r="Q216" s="10" t="n">
        <v>0</v>
      </c>
      <c r="R216" s="10" t="n">
        <v>2517300</v>
      </c>
      <c r="S216" s="10" t="n">
        <v>0</v>
      </c>
      <c r="T216" s="7"/>
      <c r="U216" s="7"/>
      <c r="V216" s="7"/>
      <c r="W216" s="7" t="s">
        <v>49</v>
      </c>
      <c r="X216" s="7"/>
      <c r="Y216" s="7" t="s">
        <v>37</v>
      </c>
      <c r="Z216" s="7" t="s">
        <v>838</v>
      </c>
      <c r="AA216" s="7" t="s">
        <v>839</v>
      </c>
      <c r="AB216" s="10" t="n">
        <v>932333.3333</v>
      </c>
      <c r="AC216" s="10" t="n">
        <v>3</v>
      </c>
    </row>
    <row r="217" customFormat="false" ht="15.75" hidden="true" customHeight="true" outlineLevel="0" collapsed="false">
      <c r="A217" s="6"/>
      <c r="B217" s="7" t="s">
        <v>417</v>
      </c>
      <c r="C217" s="7" t="s">
        <v>60</v>
      </c>
      <c r="D217" s="7" t="s">
        <v>116</v>
      </c>
      <c r="E217" s="7" t="s">
        <v>202</v>
      </c>
      <c r="F217" s="8" t="s">
        <v>840</v>
      </c>
      <c r="G217" s="9" t="n">
        <f aca="false">DATE(2000+VALUE(MID(F217,7,2)),VALUE(MID(F217,4,2)),VALUE(LEFT(F217,2)))</f>
        <v>45474</v>
      </c>
      <c r="H217" s="8" t="s">
        <v>841</v>
      </c>
      <c r="I217" s="9" t="n">
        <f aca="false">DATE(2000+VALUE(MID(H217,7,2)),VALUE(MID(H217,4,2)),VALUE(LEFT(H217,2)))</f>
        <v>45476</v>
      </c>
      <c r="J217" s="9"/>
      <c r="K217" s="10" t="n">
        <v>997492</v>
      </c>
      <c r="L217" s="10" t="n">
        <v>0</v>
      </c>
      <c r="M217" s="10" t="n">
        <v>997492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997492</v>
      </c>
      <c r="S217" s="10" t="n">
        <v>0</v>
      </c>
      <c r="T217" s="7"/>
      <c r="U217" s="7"/>
      <c r="V217" s="7"/>
      <c r="W217" s="7" t="s">
        <v>222</v>
      </c>
      <c r="X217" s="7"/>
      <c r="Y217" s="7" t="s">
        <v>37</v>
      </c>
      <c r="Z217" s="7" t="s">
        <v>631</v>
      </c>
      <c r="AA217" s="7"/>
      <c r="AB217" s="10" t="n">
        <v>498746</v>
      </c>
      <c r="AC217" s="10" t="n">
        <v>2</v>
      </c>
    </row>
    <row r="218" customFormat="false" ht="15.75" hidden="true" customHeight="true" outlineLevel="0" collapsed="false">
      <c r="A218" s="6"/>
      <c r="B218" s="7" t="s">
        <v>417</v>
      </c>
      <c r="C218" s="7" t="s">
        <v>60</v>
      </c>
      <c r="D218" s="7" t="s">
        <v>173</v>
      </c>
      <c r="E218" s="7" t="s">
        <v>202</v>
      </c>
      <c r="F218" s="8" t="s">
        <v>842</v>
      </c>
      <c r="G218" s="9" t="n">
        <f aca="false">DATE(2000+VALUE(MID(F218,7,2)),VALUE(MID(F218,4,2)),VALUE(LEFT(F218,2)))</f>
        <v>45474</v>
      </c>
      <c r="H218" s="8" t="s">
        <v>843</v>
      </c>
      <c r="I218" s="9" t="n">
        <f aca="false">DATE(2000+VALUE(MID(H218,7,2)),VALUE(MID(H218,4,2)),VALUE(LEFT(H218,2)))</f>
        <v>45476</v>
      </c>
      <c r="J218" s="9"/>
      <c r="K218" s="10" t="n">
        <v>997492</v>
      </c>
      <c r="L218" s="10" t="n">
        <v>0</v>
      </c>
      <c r="M218" s="10" t="n">
        <v>997492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997492</v>
      </c>
      <c r="S218" s="10" t="n">
        <v>0</v>
      </c>
      <c r="T218" s="7"/>
      <c r="U218" s="7"/>
      <c r="V218" s="7"/>
      <c r="W218" s="7" t="s">
        <v>222</v>
      </c>
      <c r="X218" s="7"/>
      <c r="Y218" s="7" t="s">
        <v>37</v>
      </c>
      <c r="Z218" s="7" t="s">
        <v>797</v>
      </c>
      <c r="AA218" s="7"/>
      <c r="AB218" s="10" t="n">
        <v>498746</v>
      </c>
      <c r="AC218" s="10" t="n">
        <v>2</v>
      </c>
    </row>
    <row r="219" customFormat="false" ht="15.75" hidden="true" customHeight="true" outlineLevel="0" collapsed="false">
      <c r="A219" s="6"/>
      <c r="B219" s="7" t="s">
        <v>417</v>
      </c>
      <c r="C219" s="7" t="s">
        <v>71</v>
      </c>
      <c r="D219" s="7" t="s">
        <v>72</v>
      </c>
      <c r="E219" s="7" t="s">
        <v>844</v>
      </c>
      <c r="F219" s="8" t="s">
        <v>840</v>
      </c>
      <c r="G219" s="9" t="n">
        <f aca="false">DATE(2000+VALUE(MID(F219,7,2)),VALUE(MID(F219,4,2)),VALUE(LEFT(F219,2)))</f>
        <v>45474</v>
      </c>
      <c r="H219" s="8" t="s">
        <v>843</v>
      </c>
      <c r="I219" s="9" t="n">
        <f aca="false">DATE(2000+VALUE(MID(H219,7,2)),VALUE(MID(H219,4,2)),VALUE(LEFT(H219,2)))</f>
        <v>45476</v>
      </c>
      <c r="J219" s="9"/>
      <c r="K219" s="10" t="n">
        <v>997492</v>
      </c>
      <c r="L219" s="10" t="n">
        <v>0</v>
      </c>
      <c r="M219" s="10" t="n">
        <v>997492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997492</v>
      </c>
      <c r="S219" s="10" t="n">
        <v>0</v>
      </c>
      <c r="T219" s="7"/>
      <c r="U219" s="7"/>
      <c r="V219" s="7"/>
      <c r="W219" s="7" t="s">
        <v>222</v>
      </c>
      <c r="X219" s="7"/>
      <c r="Y219" s="7" t="s">
        <v>37</v>
      </c>
      <c r="Z219" s="7" t="s">
        <v>592</v>
      </c>
      <c r="AA219" s="7"/>
      <c r="AB219" s="10" t="n">
        <v>498746</v>
      </c>
      <c r="AC219" s="10" t="n">
        <v>2</v>
      </c>
    </row>
    <row r="220" customFormat="false" ht="15.75" hidden="true" customHeight="true" outlineLevel="0" collapsed="false">
      <c r="A220" s="6"/>
      <c r="B220" s="7" t="s">
        <v>441</v>
      </c>
      <c r="C220" s="7" t="s">
        <v>65</v>
      </c>
      <c r="D220" s="7" t="s">
        <v>96</v>
      </c>
      <c r="E220" s="7" t="s">
        <v>845</v>
      </c>
      <c r="F220" s="8" t="s">
        <v>846</v>
      </c>
      <c r="G220" s="9" t="n">
        <f aca="false">DATE(2000+VALUE(MID(F220,7,2)),VALUE(MID(F220,4,2)),VALUE(LEFT(F220,2)))</f>
        <v>45472</v>
      </c>
      <c r="H220" s="8" t="s">
        <v>847</v>
      </c>
      <c r="I220" s="9" t="n">
        <f aca="false">DATE(2000+VALUE(MID(H220,7,2)),VALUE(MID(H220,4,2)),VALUE(LEFT(H220,2)))</f>
        <v>45476</v>
      </c>
      <c r="J220" s="9"/>
      <c r="K220" s="10" t="n">
        <v>1860480</v>
      </c>
      <c r="L220" s="10" t="n">
        <v>0</v>
      </c>
      <c r="M220" s="10" t="n">
        <v>1860480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1860480</v>
      </c>
      <c r="S220" s="10" t="n">
        <v>0</v>
      </c>
      <c r="T220" s="7"/>
      <c r="U220" s="7"/>
      <c r="V220" s="7"/>
      <c r="W220" s="7" t="s">
        <v>49</v>
      </c>
      <c r="X220" s="7"/>
      <c r="Y220" s="7" t="s">
        <v>37</v>
      </c>
      <c r="Z220" s="7" t="s">
        <v>555</v>
      </c>
      <c r="AA220" s="7" t="s">
        <v>848</v>
      </c>
      <c r="AB220" s="10" t="n">
        <v>465120</v>
      </c>
      <c r="AC220" s="10" t="n">
        <v>4</v>
      </c>
    </row>
    <row r="221" customFormat="false" ht="15.75" hidden="true" customHeight="true" outlineLevel="0" collapsed="false">
      <c r="A221" s="6"/>
      <c r="B221" s="7" t="s">
        <v>706</v>
      </c>
      <c r="C221" s="7" t="s">
        <v>65</v>
      </c>
      <c r="D221" s="7" t="s">
        <v>156</v>
      </c>
      <c r="E221" s="7" t="s">
        <v>681</v>
      </c>
      <c r="F221" s="8" t="s">
        <v>849</v>
      </c>
      <c r="G221" s="9" t="n">
        <f aca="false">DATE(2000+VALUE(MID(F221,7,2)),VALUE(MID(F221,4,2)),VALUE(LEFT(F221,2)))</f>
        <v>45475</v>
      </c>
      <c r="H221" s="8" t="s">
        <v>850</v>
      </c>
      <c r="I221" s="9" t="n">
        <f aca="false">DATE(2000+VALUE(MID(H221,7,2)),VALUE(MID(H221,4,2)),VALUE(LEFT(H221,2)))</f>
        <v>45476</v>
      </c>
      <c r="J221" s="9"/>
      <c r="K221" s="10" t="n">
        <v>495000</v>
      </c>
      <c r="L221" s="10" t="n">
        <v>0</v>
      </c>
      <c r="M221" s="10" t="n">
        <v>495000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495000</v>
      </c>
      <c r="S221" s="10" t="n">
        <v>0</v>
      </c>
      <c r="T221" s="7"/>
      <c r="U221" s="7"/>
      <c r="V221" s="7"/>
      <c r="W221" s="7" t="s">
        <v>43</v>
      </c>
      <c r="X221" s="7"/>
      <c r="Y221" s="7" t="s">
        <v>37</v>
      </c>
      <c r="Z221" s="7" t="s">
        <v>851</v>
      </c>
      <c r="AA221" s="7"/>
      <c r="AB221" s="10" t="n">
        <v>495000</v>
      </c>
      <c r="AC221" s="10" t="n">
        <v>1</v>
      </c>
    </row>
    <row r="222" customFormat="false" ht="15.75" hidden="true" customHeight="true" outlineLevel="0" collapsed="false">
      <c r="A222" s="6"/>
      <c r="B222" s="7" t="s">
        <v>818</v>
      </c>
      <c r="C222" s="7" t="s">
        <v>60</v>
      </c>
      <c r="D222" s="7" t="s">
        <v>164</v>
      </c>
      <c r="E222" s="7" t="s">
        <v>852</v>
      </c>
      <c r="F222" s="8" t="s">
        <v>853</v>
      </c>
      <c r="G222" s="9" t="n">
        <f aca="false">DATE(2000+VALUE(MID(F222,7,2)),VALUE(MID(F222,4,2)),VALUE(LEFT(F222,2)))</f>
        <v>45469</v>
      </c>
      <c r="H222" s="8" t="s">
        <v>854</v>
      </c>
      <c r="I222" s="9" t="n">
        <f aca="false">DATE(2000+VALUE(MID(H222,7,2)),VALUE(MID(H222,4,2)),VALUE(LEFT(H222,2)))</f>
        <v>45476</v>
      </c>
      <c r="J222" s="9"/>
      <c r="K222" s="10" t="n">
        <v>3465000</v>
      </c>
      <c r="L222" s="10" t="n">
        <v>550000</v>
      </c>
      <c r="M222" s="10" t="n">
        <v>4015000</v>
      </c>
      <c r="N222" s="10" t="n">
        <v>0</v>
      </c>
      <c r="O222" s="10" t="n">
        <v>0</v>
      </c>
      <c r="P222" s="10" t="n">
        <v>0</v>
      </c>
      <c r="Q222" s="10" t="n">
        <v>4015000</v>
      </c>
      <c r="R222" s="10" t="n">
        <v>0</v>
      </c>
      <c r="S222" s="10" t="n">
        <v>0</v>
      </c>
      <c r="T222" s="7"/>
      <c r="U222" s="7"/>
      <c r="V222" s="7"/>
      <c r="W222" s="7" t="s">
        <v>43</v>
      </c>
      <c r="X222" s="7"/>
      <c r="Y222" s="7" t="s">
        <v>37</v>
      </c>
      <c r="Z222" s="7" t="s">
        <v>855</v>
      </c>
      <c r="AA222" s="7"/>
      <c r="AB222" s="10" t="n">
        <v>495000</v>
      </c>
      <c r="AC222" s="10" t="n">
        <v>7</v>
      </c>
    </row>
    <row r="223" customFormat="false" ht="15.75" hidden="true" customHeight="true" outlineLevel="0" collapsed="false">
      <c r="A223" s="6"/>
      <c r="B223" s="7" t="s">
        <v>679</v>
      </c>
      <c r="C223" s="7" t="s">
        <v>71</v>
      </c>
      <c r="D223" s="7" t="s">
        <v>92</v>
      </c>
      <c r="E223" s="12" t="s">
        <v>214</v>
      </c>
      <c r="F223" s="8" t="s">
        <v>856</v>
      </c>
      <c r="G223" s="9" t="n">
        <f aca="false">DATE(2000+VALUE(MID(F223,7,2)),VALUE(MID(F223,4,2)),VALUE(LEFT(F223,2)))</f>
        <v>45475</v>
      </c>
      <c r="H223" s="8" t="s">
        <v>857</v>
      </c>
      <c r="I223" s="9" t="n">
        <f aca="false">DATE(2000+VALUE(MID(H223,7,2)),VALUE(MID(H223,4,2)),VALUE(LEFT(H223,2)))</f>
        <v>45476</v>
      </c>
      <c r="J223" s="9"/>
      <c r="K223" s="10" t="n">
        <v>463031</v>
      </c>
      <c r="L223" s="10" t="n">
        <v>300000</v>
      </c>
      <c r="M223" s="10" t="n">
        <v>763031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763031</v>
      </c>
      <c r="S223" s="10" t="n">
        <v>0</v>
      </c>
      <c r="T223" s="7"/>
      <c r="U223" s="7"/>
      <c r="V223" s="7"/>
      <c r="W223" s="7" t="s">
        <v>49</v>
      </c>
      <c r="X223" s="7"/>
      <c r="Y223" s="7" t="s">
        <v>37</v>
      </c>
      <c r="Z223" s="7" t="s">
        <v>858</v>
      </c>
      <c r="AA223" s="7" t="s">
        <v>859</v>
      </c>
      <c r="AB223" s="10" t="n">
        <v>463031</v>
      </c>
      <c r="AC223" s="10" t="n">
        <v>1</v>
      </c>
    </row>
    <row r="224" customFormat="false" ht="15.75" hidden="true" customHeight="true" outlineLevel="0" collapsed="false">
      <c r="A224" s="6"/>
      <c r="B224" s="7" t="s">
        <v>310</v>
      </c>
      <c r="C224" s="7" t="s">
        <v>209</v>
      </c>
      <c r="D224" s="7" t="s">
        <v>209</v>
      </c>
      <c r="E224" s="7" t="s">
        <v>860</v>
      </c>
      <c r="F224" s="8" t="s">
        <v>861</v>
      </c>
      <c r="G224" s="9" t="n">
        <f aca="false">DATE(2000+VALUE(MID(F224,7,2)),VALUE(MID(F224,4,2)),VALUE(LEFT(F224,2)))</f>
        <v>45444</v>
      </c>
      <c r="H224" s="8" t="s">
        <v>862</v>
      </c>
      <c r="I224" s="9" t="n">
        <f aca="false">DATE(2000+VALUE(MID(H224,7,2)),VALUE(MID(H224,4,2)),VALUE(LEFT(H224,2)))</f>
        <v>45476</v>
      </c>
      <c r="J224" s="9"/>
      <c r="K224" s="10" t="n">
        <v>28021400</v>
      </c>
      <c r="L224" s="10" t="n">
        <v>1484000</v>
      </c>
      <c r="M224" s="10" t="n">
        <v>29505400</v>
      </c>
      <c r="N224" s="10" t="n">
        <v>0</v>
      </c>
      <c r="O224" s="10" t="n">
        <v>0</v>
      </c>
      <c r="P224" s="10" t="n">
        <v>0</v>
      </c>
      <c r="Q224" s="10" t="n">
        <v>29505400</v>
      </c>
      <c r="R224" s="10" t="n">
        <v>0</v>
      </c>
      <c r="S224" s="10" t="n">
        <v>0</v>
      </c>
      <c r="T224" s="7"/>
      <c r="U224" s="7"/>
      <c r="V224" s="7"/>
      <c r="W224" s="7" t="s">
        <v>36</v>
      </c>
      <c r="X224" s="7"/>
      <c r="Y224" s="7" t="s">
        <v>37</v>
      </c>
      <c r="Z224" s="7" t="s">
        <v>389</v>
      </c>
      <c r="AA224" s="7"/>
      <c r="AB224" s="10" t="n">
        <v>875668.75</v>
      </c>
      <c r="AC224" s="10" t="n">
        <v>32</v>
      </c>
    </row>
    <row r="225" customFormat="false" ht="15.75" hidden="true" customHeight="true" outlineLevel="0" collapsed="false">
      <c r="A225" s="6"/>
      <c r="B225" s="7" t="s">
        <v>756</v>
      </c>
      <c r="C225" s="7" t="s">
        <v>31</v>
      </c>
      <c r="D225" s="7" t="s">
        <v>32</v>
      </c>
      <c r="E225" s="7" t="s">
        <v>863</v>
      </c>
      <c r="F225" s="8" t="s">
        <v>864</v>
      </c>
      <c r="G225" s="9" t="n">
        <f aca="false">DATE(2000+VALUE(MID(F225,7,2)),VALUE(MID(F225,4,2)),VALUE(LEFT(F225,2)))</f>
        <v>45476</v>
      </c>
      <c r="H225" s="8" t="s">
        <v>865</v>
      </c>
      <c r="I225" s="9" t="n">
        <f aca="false">DATE(2000+VALUE(MID(H225,7,2)),VALUE(MID(H225,4,2)),VALUE(LEFT(H225,2)))</f>
        <v>45477</v>
      </c>
      <c r="J225" s="9"/>
      <c r="K225" s="10" t="n">
        <v>770000</v>
      </c>
      <c r="L225" s="10" t="n">
        <v>0</v>
      </c>
      <c r="M225" s="10" t="n">
        <v>770000</v>
      </c>
      <c r="N225" s="10" t="n">
        <v>0</v>
      </c>
      <c r="O225" s="10" t="n">
        <v>0</v>
      </c>
      <c r="P225" s="10" t="n">
        <v>0</v>
      </c>
      <c r="Q225" s="10" t="n">
        <v>770000</v>
      </c>
      <c r="R225" s="10" t="n">
        <v>0</v>
      </c>
      <c r="S225" s="10" t="n">
        <v>0</v>
      </c>
      <c r="T225" s="7"/>
      <c r="U225" s="7"/>
      <c r="V225" s="7"/>
      <c r="W225" s="7" t="s">
        <v>43</v>
      </c>
      <c r="X225" s="7"/>
      <c r="Y225" s="7" t="s">
        <v>37</v>
      </c>
      <c r="Z225" s="7" t="s">
        <v>866</v>
      </c>
      <c r="AA225" s="7"/>
      <c r="AB225" s="10" t="n">
        <v>770000</v>
      </c>
      <c r="AC225" s="10" t="n">
        <v>1</v>
      </c>
    </row>
    <row r="226" customFormat="false" ht="15.75" hidden="true" customHeight="true" outlineLevel="0" collapsed="false">
      <c r="A226" s="6"/>
      <c r="B226" s="7" t="s">
        <v>562</v>
      </c>
      <c r="C226" s="7" t="s">
        <v>65</v>
      </c>
      <c r="D226" s="7" t="s">
        <v>76</v>
      </c>
      <c r="E226" s="7" t="s">
        <v>734</v>
      </c>
      <c r="F226" s="8" t="s">
        <v>739</v>
      </c>
      <c r="G226" s="9" t="n">
        <f aca="false">DATE(2000+VALUE(MID(F226,7,2)),VALUE(MID(F226,4,2)),VALUE(LEFT(F226,2)))</f>
        <v>45470</v>
      </c>
      <c r="H226" s="8" t="s">
        <v>867</v>
      </c>
      <c r="I226" s="9" t="n">
        <f aca="false">DATE(2000+VALUE(MID(H226,7,2)),VALUE(MID(H226,4,2)),VALUE(LEFT(H226,2)))</f>
        <v>45477</v>
      </c>
      <c r="J226" s="9"/>
      <c r="K226" s="10" t="n">
        <v>3600000</v>
      </c>
      <c r="L226" s="10" t="n">
        <v>0</v>
      </c>
      <c r="M226" s="10" t="n">
        <v>3600000</v>
      </c>
      <c r="N226" s="10" t="n">
        <v>0</v>
      </c>
      <c r="O226" s="10" t="n">
        <v>0</v>
      </c>
      <c r="P226" s="10" t="n">
        <v>0</v>
      </c>
      <c r="Q226" s="10" t="n">
        <v>3600000</v>
      </c>
      <c r="R226" s="10" t="n">
        <v>0</v>
      </c>
      <c r="S226" s="10" t="n">
        <v>0</v>
      </c>
      <c r="T226" s="7"/>
      <c r="U226" s="7"/>
      <c r="V226" s="7"/>
      <c r="W226" s="7" t="s">
        <v>43</v>
      </c>
      <c r="X226" s="7"/>
      <c r="Y226" s="7" t="s">
        <v>37</v>
      </c>
      <c r="Z226" s="7" t="s">
        <v>777</v>
      </c>
      <c r="AA226" s="7"/>
      <c r="AB226" s="10" t="n">
        <v>514285.7142</v>
      </c>
      <c r="AC226" s="10" t="n">
        <v>7</v>
      </c>
    </row>
    <row r="227" customFormat="false" ht="15.75" hidden="true" customHeight="true" outlineLevel="0" collapsed="false">
      <c r="A227" s="6"/>
      <c r="B227" s="7" t="s">
        <v>701</v>
      </c>
      <c r="C227" s="7" t="s">
        <v>60</v>
      </c>
      <c r="D227" s="7" t="s">
        <v>173</v>
      </c>
      <c r="E227" s="7" t="s">
        <v>868</v>
      </c>
      <c r="F227" s="8" t="s">
        <v>869</v>
      </c>
      <c r="G227" s="9" t="n">
        <f aca="false">DATE(2000+VALUE(MID(F227,7,2)),VALUE(MID(F227,4,2)),VALUE(LEFT(F227,2)))</f>
        <v>45477</v>
      </c>
      <c r="H227" s="8" t="s">
        <v>870</v>
      </c>
      <c r="I227" s="9" t="n">
        <f aca="false">DATE(2000+VALUE(MID(H227,7,2)),VALUE(MID(H227,4,2)),VALUE(LEFT(H227,2)))</f>
        <v>45478</v>
      </c>
      <c r="J227" s="9"/>
      <c r="K227" s="10" t="n">
        <v>495000</v>
      </c>
      <c r="L227" s="10" t="n">
        <v>0</v>
      </c>
      <c r="M227" s="10" t="n">
        <v>495000</v>
      </c>
      <c r="N227" s="10" t="n">
        <v>0</v>
      </c>
      <c r="O227" s="10" t="n">
        <v>245000</v>
      </c>
      <c r="P227" s="10" t="n">
        <v>0</v>
      </c>
      <c r="Q227" s="10" t="n">
        <v>250000</v>
      </c>
      <c r="R227" s="10" t="n">
        <v>0</v>
      </c>
      <c r="S227" s="10" t="n">
        <v>0</v>
      </c>
      <c r="T227" s="7"/>
      <c r="U227" s="7"/>
      <c r="V227" s="7"/>
      <c r="W227" s="7" t="s">
        <v>43</v>
      </c>
      <c r="X227" s="7"/>
      <c r="Y227" s="7" t="s">
        <v>37</v>
      </c>
      <c r="Z227" s="7" t="s">
        <v>871</v>
      </c>
      <c r="AA227" s="7"/>
      <c r="AB227" s="10" t="n">
        <v>495000</v>
      </c>
      <c r="AC227" s="10" t="n">
        <v>1</v>
      </c>
    </row>
    <row r="228" customFormat="false" ht="15.75" hidden="true" customHeight="true" outlineLevel="0" collapsed="false">
      <c r="A228" s="6"/>
      <c r="B228" s="7" t="s">
        <v>855</v>
      </c>
      <c r="C228" s="7" t="s">
        <v>71</v>
      </c>
      <c r="D228" s="7" t="s">
        <v>72</v>
      </c>
      <c r="E228" s="7" t="s">
        <v>872</v>
      </c>
      <c r="F228" s="8" t="s">
        <v>873</v>
      </c>
      <c r="G228" s="9" t="n">
        <f aca="false">DATE(2000+VALUE(MID(F228,7,2)),VALUE(MID(F228,4,2)),VALUE(LEFT(F228,2)))</f>
        <v>45477</v>
      </c>
      <c r="H228" s="8" t="s">
        <v>870</v>
      </c>
      <c r="I228" s="9" t="n">
        <f aca="false">DATE(2000+VALUE(MID(H228,7,2)),VALUE(MID(H228,4,2)),VALUE(LEFT(H228,2)))</f>
        <v>45478</v>
      </c>
      <c r="J228" s="9"/>
      <c r="K228" s="10" t="n">
        <v>580000</v>
      </c>
      <c r="L228" s="10" t="n">
        <v>0</v>
      </c>
      <c r="M228" s="10" t="n">
        <v>580000</v>
      </c>
      <c r="N228" s="10" t="n">
        <v>0</v>
      </c>
      <c r="O228" s="10" t="n">
        <v>0</v>
      </c>
      <c r="P228" s="10" t="n">
        <v>0</v>
      </c>
      <c r="Q228" s="10" t="n">
        <v>580000</v>
      </c>
      <c r="R228" s="10" t="n">
        <v>0</v>
      </c>
      <c r="S228" s="10" t="n">
        <v>0</v>
      </c>
      <c r="T228" s="7"/>
      <c r="U228" s="7"/>
      <c r="V228" s="7"/>
      <c r="W228" s="7" t="s">
        <v>43</v>
      </c>
      <c r="X228" s="7"/>
      <c r="Y228" s="7" t="s">
        <v>37</v>
      </c>
      <c r="Z228" s="7" t="s">
        <v>874</v>
      </c>
      <c r="AA228" s="7"/>
      <c r="AB228" s="10" t="n">
        <v>580000</v>
      </c>
      <c r="AC228" s="10" t="n">
        <v>1</v>
      </c>
    </row>
    <row r="229" customFormat="false" ht="15.75" hidden="true" customHeight="true" outlineLevel="0" collapsed="false">
      <c r="A229" s="6"/>
      <c r="B229" s="7" t="s">
        <v>875</v>
      </c>
      <c r="C229" s="7" t="s">
        <v>31</v>
      </c>
      <c r="D229" s="7" t="s">
        <v>45</v>
      </c>
      <c r="E229" s="7" t="s">
        <v>876</v>
      </c>
      <c r="F229" s="8" t="s">
        <v>877</v>
      </c>
      <c r="G229" s="9" t="n">
        <f aca="false">DATE(2000+VALUE(MID(F229,7,2)),VALUE(MID(F229,4,2)),VALUE(LEFT(F229,2)))</f>
        <v>45475</v>
      </c>
      <c r="H229" s="8" t="s">
        <v>878</v>
      </c>
      <c r="I229" s="9" t="n">
        <f aca="false">DATE(2000+VALUE(MID(H229,7,2)),VALUE(MID(H229,4,2)),VALUE(LEFT(H229,2)))</f>
        <v>45478</v>
      </c>
      <c r="J229" s="9"/>
      <c r="K229" s="10" t="n">
        <v>2400000</v>
      </c>
      <c r="L229" s="10" t="n">
        <v>30000</v>
      </c>
      <c r="M229" s="10" t="n">
        <v>2430000</v>
      </c>
      <c r="N229" s="10" t="n">
        <v>0</v>
      </c>
      <c r="O229" s="10" t="n">
        <v>2430000</v>
      </c>
      <c r="P229" s="10" t="n">
        <v>0</v>
      </c>
      <c r="Q229" s="10" t="n">
        <v>0</v>
      </c>
      <c r="R229" s="10" t="n">
        <v>0</v>
      </c>
      <c r="S229" s="10" t="n">
        <v>0</v>
      </c>
      <c r="T229" s="7"/>
      <c r="U229" s="7"/>
      <c r="V229" s="7"/>
      <c r="W229" s="7" t="s">
        <v>43</v>
      </c>
      <c r="X229" s="7"/>
      <c r="Y229" s="7" t="s">
        <v>37</v>
      </c>
      <c r="Z229" s="7" t="s">
        <v>879</v>
      </c>
      <c r="AA229" s="7"/>
      <c r="AB229" s="10" t="n">
        <v>800000</v>
      </c>
      <c r="AC229" s="10" t="n">
        <v>3</v>
      </c>
    </row>
    <row r="230" customFormat="false" ht="15.75" hidden="true" customHeight="true" outlineLevel="0" collapsed="false">
      <c r="A230" s="6"/>
      <c r="B230" s="7" t="s">
        <v>795</v>
      </c>
      <c r="C230" s="7" t="s">
        <v>60</v>
      </c>
      <c r="D230" s="7" t="s">
        <v>116</v>
      </c>
      <c r="E230" s="7" t="s">
        <v>880</v>
      </c>
      <c r="F230" s="8" t="s">
        <v>881</v>
      </c>
      <c r="G230" s="9" t="n">
        <f aca="false">DATE(2000+VALUE(MID(F230,7,2)),VALUE(MID(F230,4,2)),VALUE(LEFT(F230,2)))</f>
        <v>45477</v>
      </c>
      <c r="H230" s="8" t="s">
        <v>878</v>
      </c>
      <c r="I230" s="9" t="n">
        <f aca="false">DATE(2000+VALUE(MID(H230,7,2)),VALUE(MID(H230,4,2)),VALUE(LEFT(H230,2)))</f>
        <v>45478</v>
      </c>
      <c r="J230" s="9"/>
      <c r="K230" s="10" t="n">
        <v>1200000</v>
      </c>
      <c r="L230" s="10" t="n">
        <v>0</v>
      </c>
      <c r="M230" s="10" t="n">
        <v>1200000</v>
      </c>
      <c r="N230" s="10" t="n">
        <v>0</v>
      </c>
      <c r="O230" s="10" t="n">
        <v>1200000</v>
      </c>
      <c r="P230" s="10" t="n">
        <v>0</v>
      </c>
      <c r="Q230" s="10" t="n">
        <v>0</v>
      </c>
      <c r="R230" s="10" t="n">
        <v>0</v>
      </c>
      <c r="S230" s="10" t="n">
        <v>0</v>
      </c>
      <c r="T230" s="7"/>
      <c r="U230" s="7"/>
      <c r="V230" s="7"/>
      <c r="W230" s="7" t="s">
        <v>43</v>
      </c>
      <c r="X230" s="7"/>
      <c r="Y230" s="7" t="s">
        <v>37</v>
      </c>
      <c r="Z230" s="7" t="s">
        <v>882</v>
      </c>
      <c r="AA230" s="7"/>
      <c r="AB230" s="10" t="n">
        <v>1200000</v>
      </c>
      <c r="AC230" s="10" t="n">
        <v>1</v>
      </c>
    </row>
    <row r="231" customFormat="false" ht="15.75" hidden="true" customHeight="true" outlineLevel="0" collapsed="false">
      <c r="A231" s="6"/>
      <c r="B231" s="7" t="s">
        <v>570</v>
      </c>
      <c r="C231" s="7" t="s">
        <v>65</v>
      </c>
      <c r="D231" s="7" t="s">
        <v>87</v>
      </c>
      <c r="E231" s="7" t="s">
        <v>883</v>
      </c>
      <c r="F231" s="8" t="s">
        <v>884</v>
      </c>
      <c r="G231" s="9" t="n">
        <f aca="false">DATE(2000+VALUE(MID(F231,7,2)),VALUE(MID(F231,4,2)),VALUE(LEFT(F231,2)))</f>
        <v>45465</v>
      </c>
      <c r="H231" s="8" t="s">
        <v>885</v>
      </c>
      <c r="I231" s="9" t="n">
        <f aca="false">DATE(2000+VALUE(MID(H231,7,2)),VALUE(MID(H231,4,2)),VALUE(LEFT(H231,2)))</f>
        <v>45478</v>
      </c>
      <c r="J231" s="9"/>
      <c r="K231" s="10" t="n">
        <v>5691600</v>
      </c>
      <c r="L231" s="10" t="n">
        <v>0</v>
      </c>
      <c r="M231" s="10" t="n">
        <v>5691600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5691600</v>
      </c>
      <c r="S231" s="10" t="n">
        <v>0</v>
      </c>
      <c r="T231" s="7"/>
      <c r="U231" s="7"/>
      <c r="V231" s="7"/>
      <c r="W231" s="7" t="s">
        <v>49</v>
      </c>
      <c r="X231" s="7"/>
      <c r="Y231" s="7" t="s">
        <v>37</v>
      </c>
      <c r="Z231" s="7" t="s">
        <v>780</v>
      </c>
      <c r="AA231" s="7" t="s">
        <v>886</v>
      </c>
      <c r="AB231" s="10" t="n">
        <v>437815.3846</v>
      </c>
      <c r="AC231" s="10" t="n">
        <v>13</v>
      </c>
    </row>
    <row r="232" customFormat="false" ht="15.75" hidden="true" customHeight="true" outlineLevel="0" collapsed="false">
      <c r="A232" s="6"/>
      <c r="B232" s="7" t="s">
        <v>769</v>
      </c>
      <c r="C232" s="7" t="s">
        <v>71</v>
      </c>
      <c r="D232" s="7" t="s">
        <v>92</v>
      </c>
      <c r="E232" s="7" t="s">
        <v>887</v>
      </c>
      <c r="F232" s="8" t="s">
        <v>888</v>
      </c>
      <c r="G232" s="9" t="n">
        <f aca="false">DATE(2000+VALUE(MID(F232,7,2)),VALUE(MID(F232,4,2)),VALUE(LEFT(F232,2)))</f>
        <v>45478</v>
      </c>
      <c r="H232" s="8" t="s">
        <v>889</v>
      </c>
      <c r="I232" s="9" t="n">
        <f aca="false">DATE(2000+VALUE(MID(H232,7,2)),VALUE(MID(H232,4,2)),VALUE(LEFT(H232,2)))</f>
        <v>45478</v>
      </c>
      <c r="J232" s="9"/>
      <c r="K232" s="10" t="n">
        <v>430000</v>
      </c>
      <c r="L232" s="10" t="n">
        <v>0</v>
      </c>
      <c r="M232" s="10" t="n">
        <v>430000</v>
      </c>
      <c r="N232" s="10" t="n">
        <v>0</v>
      </c>
      <c r="O232" s="10" t="n">
        <v>430000</v>
      </c>
      <c r="P232" s="10" t="n">
        <v>0</v>
      </c>
      <c r="Q232" s="10" t="n">
        <v>0</v>
      </c>
      <c r="R232" s="10" t="n">
        <v>0</v>
      </c>
      <c r="S232" s="10" t="n">
        <v>0</v>
      </c>
      <c r="T232" s="7"/>
      <c r="U232" s="7"/>
      <c r="V232" s="7"/>
      <c r="W232" s="7" t="s">
        <v>43</v>
      </c>
      <c r="X232" s="7"/>
      <c r="Y232" s="7" t="s">
        <v>37</v>
      </c>
      <c r="Z232" s="7" t="s">
        <v>890</v>
      </c>
      <c r="AA232" s="7"/>
      <c r="AB232" s="10" t="n">
        <v>430000</v>
      </c>
      <c r="AC232" s="10" t="n">
        <v>1</v>
      </c>
    </row>
    <row r="233" customFormat="false" ht="15.75" hidden="true" customHeight="true" outlineLevel="0" collapsed="false">
      <c r="A233" s="6"/>
      <c r="B233" s="7" t="s">
        <v>662</v>
      </c>
      <c r="C233" s="7" t="s">
        <v>65</v>
      </c>
      <c r="D233" s="7" t="s">
        <v>96</v>
      </c>
      <c r="E233" s="7" t="s">
        <v>202</v>
      </c>
      <c r="F233" s="8" t="s">
        <v>891</v>
      </c>
      <c r="G233" s="9" t="n">
        <f aca="false">DATE(2000+VALUE(MID(F233,7,2)),VALUE(MID(F233,4,2)),VALUE(LEFT(F233,2)))</f>
        <v>45476</v>
      </c>
      <c r="H233" s="8" t="s">
        <v>892</v>
      </c>
      <c r="I233" s="9" t="n">
        <f aca="false">DATE(2000+VALUE(MID(H233,7,2)),VALUE(MID(H233,4,2)),VALUE(LEFT(H233,2)))</f>
        <v>45479</v>
      </c>
      <c r="J233" s="9"/>
      <c r="K233" s="10" t="n">
        <v>1485000</v>
      </c>
      <c r="L233" s="10" t="n">
        <v>0</v>
      </c>
      <c r="M233" s="10" t="n">
        <v>1485000</v>
      </c>
      <c r="N233" s="10" t="n">
        <v>0</v>
      </c>
      <c r="O233" s="10" t="n">
        <v>1485000</v>
      </c>
      <c r="P233" s="10" t="n">
        <v>0</v>
      </c>
      <c r="Q233" s="10" t="n">
        <v>0</v>
      </c>
      <c r="R233" s="10" t="n">
        <v>0</v>
      </c>
      <c r="S233" s="10" t="n">
        <v>0</v>
      </c>
      <c r="T233" s="7"/>
      <c r="U233" s="7"/>
      <c r="V233" s="7"/>
      <c r="W233" s="7" t="s">
        <v>43</v>
      </c>
      <c r="X233" s="7"/>
      <c r="Y233" s="7" t="s">
        <v>37</v>
      </c>
      <c r="Z233" s="7" t="s">
        <v>893</v>
      </c>
      <c r="AA233" s="7"/>
      <c r="AB233" s="10" t="n">
        <v>495000</v>
      </c>
      <c r="AC233" s="10" t="n">
        <v>3</v>
      </c>
    </row>
    <row r="234" customFormat="false" ht="15.75" hidden="true" customHeight="true" outlineLevel="0" collapsed="false">
      <c r="A234" s="6"/>
      <c r="B234" s="7" t="s">
        <v>662</v>
      </c>
      <c r="C234" s="7" t="s">
        <v>60</v>
      </c>
      <c r="D234" s="7" t="s">
        <v>164</v>
      </c>
      <c r="E234" s="7" t="s">
        <v>894</v>
      </c>
      <c r="F234" s="8" t="s">
        <v>891</v>
      </c>
      <c r="G234" s="9" t="n">
        <f aca="false">DATE(2000+VALUE(MID(F234,7,2)),VALUE(MID(F234,4,2)),VALUE(LEFT(F234,2)))</f>
        <v>45476</v>
      </c>
      <c r="H234" s="8" t="s">
        <v>892</v>
      </c>
      <c r="I234" s="9" t="n">
        <f aca="false">DATE(2000+VALUE(MID(H234,7,2)),VALUE(MID(H234,4,2)),VALUE(LEFT(H234,2)))</f>
        <v>45479</v>
      </c>
      <c r="J234" s="9"/>
      <c r="K234" s="10" t="n">
        <v>1485000</v>
      </c>
      <c r="L234" s="10" t="n">
        <v>110000</v>
      </c>
      <c r="M234" s="10" t="n">
        <v>1595000</v>
      </c>
      <c r="N234" s="10" t="n">
        <v>0</v>
      </c>
      <c r="O234" s="10" t="n">
        <v>1095000</v>
      </c>
      <c r="P234" s="10" t="n">
        <v>0</v>
      </c>
      <c r="Q234" s="10" t="n">
        <v>500000</v>
      </c>
      <c r="R234" s="10" t="n">
        <v>0</v>
      </c>
      <c r="S234" s="10" t="n">
        <v>0</v>
      </c>
      <c r="T234" s="7"/>
      <c r="U234" s="7"/>
      <c r="V234" s="7"/>
      <c r="W234" s="7" t="s">
        <v>43</v>
      </c>
      <c r="X234" s="7"/>
      <c r="Y234" s="7" t="s">
        <v>37</v>
      </c>
      <c r="Z234" s="7" t="s">
        <v>895</v>
      </c>
      <c r="AA234" s="7"/>
      <c r="AB234" s="10" t="n">
        <v>495000</v>
      </c>
      <c r="AC234" s="10" t="n">
        <v>3</v>
      </c>
    </row>
    <row r="235" customFormat="false" ht="15.75" hidden="true" customHeight="true" outlineLevel="0" collapsed="false">
      <c r="A235" s="6"/>
      <c r="B235" s="7" t="s">
        <v>791</v>
      </c>
      <c r="C235" s="7" t="s">
        <v>31</v>
      </c>
      <c r="D235" s="7" t="s">
        <v>45</v>
      </c>
      <c r="E235" s="7" t="s">
        <v>896</v>
      </c>
      <c r="F235" s="8" t="s">
        <v>897</v>
      </c>
      <c r="G235" s="9" t="n">
        <f aca="false">DATE(2000+VALUE(MID(F235,7,2)),VALUE(MID(F235,4,2)),VALUE(LEFT(F235,2)))</f>
        <v>45478</v>
      </c>
      <c r="H235" s="8" t="s">
        <v>898</v>
      </c>
      <c r="I235" s="9" t="n">
        <f aca="false">DATE(2000+VALUE(MID(H235,7,2)),VALUE(MID(H235,4,2)),VALUE(LEFT(H235,2)))</f>
        <v>45479</v>
      </c>
      <c r="J235" s="9"/>
      <c r="K235" s="10" t="n">
        <v>899000</v>
      </c>
      <c r="L235" s="10" t="n">
        <v>0</v>
      </c>
      <c r="M235" s="10" t="n">
        <v>899000</v>
      </c>
      <c r="N235" s="10" t="n">
        <v>0</v>
      </c>
      <c r="O235" s="10" t="n">
        <v>0</v>
      </c>
      <c r="P235" s="10" t="n">
        <v>0</v>
      </c>
      <c r="Q235" s="10" t="n">
        <v>899000</v>
      </c>
      <c r="R235" s="10" t="n">
        <v>0</v>
      </c>
      <c r="S235" s="10" t="n">
        <v>0</v>
      </c>
      <c r="T235" s="7"/>
      <c r="U235" s="7"/>
      <c r="V235" s="7"/>
      <c r="W235" s="7" t="s">
        <v>43</v>
      </c>
      <c r="X235" s="7"/>
      <c r="Y235" s="7" t="s">
        <v>37</v>
      </c>
      <c r="Z235" s="7" t="s">
        <v>899</v>
      </c>
      <c r="AA235" s="7"/>
      <c r="AB235" s="10" t="n">
        <v>899000</v>
      </c>
      <c r="AC235" s="10" t="n">
        <v>1</v>
      </c>
    </row>
    <row r="236" customFormat="false" ht="15.75" hidden="true" customHeight="true" outlineLevel="0" collapsed="false">
      <c r="A236" s="6"/>
      <c r="B236" s="7" t="s">
        <v>747</v>
      </c>
      <c r="C236" s="7" t="s">
        <v>65</v>
      </c>
      <c r="D236" s="7" t="s">
        <v>76</v>
      </c>
      <c r="E236" s="7" t="s">
        <v>900</v>
      </c>
      <c r="F236" s="8" t="s">
        <v>901</v>
      </c>
      <c r="G236" s="9" t="n">
        <f aca="false">DATE(2000+VALUE(MID(F236,7,2)),VALUE(MID(F236,4,2)),VALUE(LEFT(F236,2)))</f>
        <v>45477</v>
      </c>
      <c r="H236" s="8" t="s">
        <v>902</v>
      </c>
      <c r="I236" s="9" t="n">
        <f aca="false">DATE(2000+VALUE(MID(H236,7,2)),VALUE(MID(H236,4,2)),VALUE(LEFT(H236,2)))</f>
        <v>45479</v>
      </c>
      <c r="J236" s="9"/>
      <c r="K236" s="10" t="n">
        <v>1198000</v>
      </c>
      <c r="L236" s="10" t="n">
        <v>0</v>
      </c>
      <c r="M236" s="10" t="n">
        <v>1078200</v>
      </c>
      <c r="N236" s="10" t="n">
        <v>0</v>
      </c>
      <c r="O236" s="10" t="n">
        <v>0</v>
      </c>
      <c r="P236" s="10" t="n">
        <v>0</v>
      </c>
      <c r="Q236" s="10" t="n">
        <v>1078200</v>
      </c>
      <c r="R236" s="10" t="n">
        <v>0</v>
      </c>
      <c r="S236" s="10" t="n">
        <v>0</v>
      </c>
      <c r="T236" s="7"/>
      <c r="U236" s="7"/>
      <c r="V236" s="7"/>
      <c r="W236" s="7" t="s">
        <v>43</v>
      </c>
      <c r="X236" s="7"/>
      <c r="Y236" s="7" t="s">
        <v>37</v>
      </c>
      <c r="Z236" s="7" t="s">
        <v>903</v>
      </c>
      <c r="AA236" s="7" t="s">
        <v>904</v>
      </c>
      <c r="AB236" s="10" t="n">
        <v>599000</v>
      </c>
      <c r="AC236" s="10" t="n">
        <v>2</v>
      </c>
    </row>
    <row r="237" customFormat="false" ht="15.75" hidden="true" customHeight="true" outlineLevel="0" collapsed="false">
      <c r="A237" s="6"/>
      <c r="B237" s="7" t="s">
        <v>741</v>
      </c>
      <c r="C237" s="7" t="s">
        <v>31</v>
      </c>
      <c r="D237" s="7" t="s">
        <v>361</v>
      </c>
      <c r="E237" s="7" t="s">
        <v>905</v>
      </c>
      <c r="F237" s="8" t="s">
        <v>906</v>
      </c>
      <c r="G237" s="9" t="n">
        <f aca="false">DATE(2000+VALUE(MID(F237,7,2)),VALUE(MID(F237,4,2)),VALUE(LEFT(F237,2)))</f>
        <v>45478</v>
      </c>
      <c r="H237" s="8" t="s">
        <v>907</v>
      </c>
      <c r="I237" s="9" t="n">
        <f aca="false">DATE(2000+VALUE(MID(H237,7,2)),VALUE(MID(H237,4,2)),VALUE(LEFT(H237,2)))</f>
        <v>45479</v>
      </c>
      <c r="J237" s="9"/>
      <c r="K237" s="10" t="n">
        <v>649000</v>
      </c>
      <c r="L237" s="10" t="n">
        <v>0</v>
      </c>
      <c r="M237" s="10" t="n">
        <v>584100</v>
      </c>
      <c r="N237" s="10" t="n">
        <v>0</v>
      </c>
      <c r="O237" s="10" t="n">
        <v>0</v>
      </c>
      <c r="P237" s="10" t="n">
        <v>0</v>
      </c>
      <c r="Q237" s="10" t="n">
        <v>584100</v>
      </c>
      <c r="R237" s="10" t="n">
        <v>0</v>
      </c>
      <c r="S237" s="10" t="n">
        <v>0</v>
      </c>
      <c r="T237" s="7"/>
      <c r="U237" s="7"/>
      <c r="V237" s="7"/>
      <c r="W237" s="7" t="s">
        <v>43</v>
      </c>
      <c r="X237" s="7"/>
      <c r="Y237" s="7" t="s">
        <v>37</v>
      </c>
      <c r="Z237" s="7" t="s">
        <v>908</v>
      </c>
      <c r="AA237" s="7" t="s">
        <v>909</v>
      </c>
      <c r="AB237" s="10" t="n">
        <v>649000</v>
      </c>
      <c r="AC237" s="10" t="n">
        <v>1</v>
      </c>
    </row>
    <row r="238" customFormat="false" ht="15.75" hidden="true" customHeight="true" outlineLevel="0" collapsed="false">
      <c r="A238" s="6"/>
      <c r="B238" s="7" t="s">
        <v>762</v>
      </c>
      <c r="C238" s="7" t="s">
        <v>71</v>
      </c>
      <c r="D238" s="7" t="s">
        <v>72</v>
      </c>
      <c r="E238" s="7" t="s">
        <v>910</v>
      </c>
      <c r="F238" s="8" t="s">
        <v>911</v>
      </c>
      <c r="G238" s="9" t="n">
        <f aca="false">DATE(2000+VALUE(MID(F238,7,2)),VALUE(MID(F238,4,2)),VALUE(LEFT(F238,2)))</f>
        <v>45478</v>
      </c>
      <c r="H238" s="8" t="s">
        <v>912</v>
      </c>
      <c r="I238" s="9" t="n">
        <f aca="false">DATE(2000+VALUE(MID(H238,7,2)),VALUE(MID(H238,4,2)),VALUE(LEFT(H238,2)))</f>
        <v>45479</v>
      </c>
      <c r="J238" s="9"/>
      <c r="K238" s="10" t="n">
        <v>674100</v>
      </c>
      <c r="L238" s="10" t="n">
        <v>0</v>
      </c>
      <c r="M238" s="10" t="n">
        <v>674100</v>
      </c>
      <c r="N238" s="10" t="n">
        <v>0</v>
      </c>
      <c r="O238" s="10" t="n">
        <v>0</v>
      </c>
      <c r="P238" s="10" t="n">
        <v>0</v>
      </c>
      <c r="Q238" s="10" t="n">
        <v>674100</v>
      </c>
      <c r="R238" s="10" t="n">
        <v>0</v>
      </c>
      <c r="S238" s="10" t="n">
        <v>0</v>
      </c>
      <c r="T238" s="7"/>
      <c r="U238" s="7"/>
      <c r="V238" s="7"/>
      <c r="W238" s="7" t="s">
        <v>43</v>
      </c>
      <c r="X238" s="7"/>
      <c r="Y238" s="7" t="s">
        <v>37</v>
      </c>
      <c r="Z238" s="7" t="s">
        <v>913</v>
      </c>
      <c r="AA238" s="7"/>
      <c r="AB238" s="10" t="n">
        <v>674100</v>
      </c>
      <c r="AC238" s="10" t="n">
        <v>1</v>
      </c>
    </row>
    <row r="239" customFormat="false" ht="15.75" hidden="true" customHeight="true" outlineLevel="0" collapsed="false">
      <c r="A239" s="6"/>
      <c r="B239" s="7" t="s">
        <v>805</v>
      </c>
      <c r="C239" s="7" t="s">
        <v>71</v>
      </c>
      <c r="D239" s="7" t="s">
        <v>914</v>
      </c>
      <c r="E239" s="7" t="s">
        <v>915</v>
      </c>
      <c r="F239" s="8" t="s">
        <v>916</v>
      </c>
      <c r="G239" s="9" t="n">
        <f aca="false">DATE(2000+VALUE(MID(F239,7,2)),VALUE(MID(F239,4,2)),VALUE(LEFT(F239,2)))</f>
        <v>45479</v>
      </c>
      <c r="H239" s="8" t="s">
        <v>917</v>
      </c>
      <c r="I239" s="9" t="n">
        <f aca="false">DATE(2000+VALUE(MID(H239,7,2)),VALUE(MID(H239,4,2)),VALUE(LEFT(H239,2)))</f>
        <v>45479</v>
      </c>
      <c r="J239" s="9"/>
      <c r="K239" s="10" t="n">
        <v>649000</v>
      </c>
      <c r="L239" s="10" t="n">
        <v>0</v>
      </c>
      <c r="M239" s="10" t="n">
        <v>584100</v>
      </c>
      <c r="N239" s="10" t="n">
        <v>0</v>
      </c>
      <c r="O239" s="10" t="n">
        <v>0</v>
      </c>
      <c r="P239" s="10" t="n">
        <v>0</v>
      </c>
      <c r="Q239" s="10" t="n">
        <v>584100</v>
      </c>
      <c r="R239" s="10" t="n">
        <v>0</v>
      </c>
      <c r="S239" s="10" t="n">
        <v>0</v>
      </c>
      <c r="T239" s="7"/>
      <c r="U239" s="7"/>
      <c r="V239" s="7"/>
      <c r="W239" s="7" t="s">
        <v>49</v>
      </c>
      <c r="X239" s="7"/>
      <c r="Y239" s="7" t="s">
        <v>37</v>
      </c>
      <c r="Z239" s="7" t="s">
        <v>918</v>
      </c>
      <c r="AA239" s="7" t="s">
        <v>919</v>
      </c>
      <c r="AB239" s="10" t="n">
        <v>649000</v>
      </c>
      <c r="AC239" s="10" t="n">
        <v>1</v>
      </c>
    </row>
    <row r="240" customFormat="false" ht="15.75" hidden="true" customHeight="true" outlineLevel="0" collapsed="false">
      <c r="A240" s="6"/>
      <c r="B240" s="7" t="s">
        <v>838</v>
      </c>
      <c r="C240" s="7" t="s">
        <v>31</v>
      </c>
      <c r="D240" s="7" t="s">
        <v>45</v>
      </c>
      <c r="E240" s="7" t="s">
        <v>202</v>
      </c>
      <c r="F240" s="8" t="s">
        <v>920</v>
      </c>
      <c r="G240" s="9" t="n">
        <f aca="false">DATE(2000+VALUE(MID(F240,7,2)),VALUE(MID(F240,4,2)),VALUE(LEFT(F240,2)))</f>
        <v>45479</v>
      </c>
      <c r="H240" s="8" t="s">
        <v>921</v>
      </c>
      <c r="I240" s="9" t="n">
        <f aca="false">DATE(2000+VALUE(MID(H240,7,2)),VALUE(MID(H240,4,2)),VALUE(LEFT(H240,2)))</f>
        <v>45479</v>
      </c>
      <c r="J240" s="9"/>
      <c r="K240" s="10" t="n">
        <v>400000</v>
      </c>
      <c r="L240" s="10" t="n">
        <v>0</v>
      </c>
      <c r="M240" s="10" t="n">
        <v>400000</v>
      </c>
      <c r="N240" s="10" t="n">
        <v>0</v>
      </c>
      <c r="O240" s="10" t="n">
        <v>400000</v>
      </c>
      <c r="P240" s="10" t="n">
        <v>0</v>
      </c>
      <c r="Q240" s="10" t="n">
        <v>0</v>
      </c>
      <c r="R240" s="10" t="n">
        <v>0</v>
      </c>
      <c r="S240" s="10" t="n">
        <v>0</v>
      </c>
      <c r="T240" s="7"/>
      <c r="U240" s="7"/>
      <c r="V240" s="7"/>
      <c r="W240" s="7" t="s">
        <v>43</v>
      </c>
      <c r="X240" s="7"/>
      <c r="Y240" s="7" t="s">
        <v>37</v>
      </c>
      <c r="Z240" s="7" t="s">
        <v>39</v>
      </c>
      <c r="AA240" s="7"/>
      <c r="AB240" s="10" t="n">
        <v>400000</v>
      </c>
      <c r="AC240" s="10" t="n">
        <v>1</v>
      </c>
    </row>
    <row r="241" customFormat="false" ht="15.75" hidden="true" customHeight="true" outlineLevel="0" collapsed="false">
      <c r="A241" s="6"/>
      <c r="B241" s="7" t="s">
        <v>829</v>
      </c>
      <c r="C241" s="7" t="s">
        <v>60</v>
      </c>
      <c r="D241" s="7" t="s">
        <v>164</v>
      </c>
      <c r="E241" s="7" t="s">
        <v>922</v>
      </c>
      <c r="F241" s="8" t="s">
        <v>923</v>
      </c>
      <c r="G241" s="9" t="n">
        <f aca="false">DATE(2000+VALUE(MID(F241,7,2)),VALUE(MID(F241,4,2)),VALUE(LEFT(F241,2)))</f>
        <v>45479</v>
      </c>
      <c r="H241" s="8" t="s">
        <v>924</v>
      </c>
      <c r="I241" s="9" t="n">
        <f aca="false">DATE(2000+VALUE(MID(H241,7,2)),VALUE(MID(H241,4,2)),VALUE(LEFT(H241,2)))</f>
        <v>45480</v>
      </c>
      <c r="J241" s="9"/>
      <c r="K241" s="10" t="n">
        <v>580000</v>
      </c>
      <c r="L241" s="10" t="n">
        <v>0</v>
      </c>
      <c r="M241" s="10" t="n">
        <v>580000</v>
      </c>
      <c r="N241" s="10" t="n">
        <v>0</v>
      </c>
      <c r="O241" s="10" t="n">
        <v>0</v>
      </c>
      <c r="P241" s="10" t="n">
        <v>0</v>
      </c>
      <c r="Q241" s="10" t="n">
        <v>580000</v>
      </c>
      <c r="R241" s="10" t="n">
        <v>0</v>
      </c>
      <c r="S241" s="10" t="n">
        <v>0</v>
      </c>
      <c r="T241" s="7"/>
      <c r="U241" s="7"/>
      <c r="V241" s="7"/>
      <c r="W241" s="7" t="s">
        <v>43</v>
      </c>
      <c r="X241" s="7"/>
      <c r="Y241" s="7" t="s">
        <v>37</v>
      </c>
      <c r="Z241" s="7" t="s">
        <v>76</v>
      </c>
      <c r="AA241" s="7"/>
      <c r="AB241" s="10" t="n">
        <v>580000</v>
      </c>
      <c r="AC241" s="10" t="n">
        <v>1</v>
      </c>
    </row>
    <row r="242" customFormat="false" ht="15.75" hidden="true" customHeight="true" outlineLevel="0" collapsed="false">
      <c r="A242" s="6"/>
      <c r="B242" s="7" t="s">
        <v>784</v>
      </c>
      <c r="C242" s="7" t="s">
        <v>71</v>
      </c>
      <c r="D242" s="7" t="s">
        <v>92</v>
      </c>
      <c r="E242" s="7" t="s">
        <v>925</v>
      </c>
      <c r="F242" s="8" t="s">
        <v>926</v>
      </c>
      <c r="G242" s="9" t="n">
        <f aca="false">DATE(2000+VALUE(MID(F242,7,2)),VALUE(MID(F242,4,2)),VALUE(LEFT(F242,2)))</f>
        <v>45479</v>
      </c>
      <c r="H242" s="8" t="s">
        <v>927</v>
      </c>
      <c r="I242" s="9" t="n">
        <f aca="false">DATE(2000+VALUE(MID(H242,7,2)),VALUE(MID(H242,4,2)),VALUE(LEFT(H242,2)))</f>
        <v>45480</v>
      </c>
      <c r="J242" s="9"/>
      <c r="K242" s="10" t="n">
        <v>570000</v>
      </c>
      <c r="L242" s="10" t="n">
        <v>0</v>
      </c>
      <c r="M242" s="10" t="n">
        <v>570000</v>
      </c>
      <c r="N242" s="10" t="n">
        <v>0</v>
      </c>
      <c r="O242" s="10" t="n">
        <v>0</v>
      </c>
      <c r="P242" s="10" t="n">
        <v>0</v>
      </c>
      <c r="Q242" s="10" t="n">
        <v>570000</v>
      </c>
      <c r="R242" s="10" t="n">
        <v>0</v>
      </c>
      <c r="S242" s="10" t="n">
        <v>0</v>
      </c>
      <c r="T242" s="7"/>
      <c r="U242" s="7"/>
      <c r="V242" s="7"/>
      <c r="W242" s="7" t="s">
        <v>43</v>
      </c>
      <c r="X242" s="7"/>
      <c r="Y242" s="7" t="s">
        <v>37</v>
      </c>
      <c r="Z242" s="7" t="s">
        <v>928</v>
      </c>
      <c r="AA242" s="7"/>
      <c r="AB242" s="10" t="n">
        <v>570000</v>
      </c>
      <c r="AC242" s="10" t="n">
        <v>1</v>
      </c>
    </row>
    <row r="243" customFormat="false" ht="15.75" hidden="true" customHeight="true" outlineLevel="0" collapsed="false">
      <c r="A243" s="6"/>
      <c r="B243" s="7" t="s">
        <v>929</v>
      </c>
      <c r="C243" s="7" t="s">
        <v>65</v>
      </c>
      <c r="D243" s="7" t="s">
        <v>96</v>
      </c>
      <c r="E243" s="7" t="s">
        <v>930</v>
      </c>
      <c r="F243" s="8" t="s">
        <v>923</v>
      </c>
      <c r="G243" s="9" t="n">
        <f aca="false">DATE(2000+VALUE(MID(F243,7,2)),VALUE(MID(F243,4,2)),VALUE(LEFT(F243,2)))</f>
        <v>45479</v>
      </c>
      <c r="H243" s="8" t="s">
        <v>931</v>
      </c>
      <c r="I243" s="9" t="n">
        <f aca="false">DATE(2000+VALUE(MID(H243,7,2)),VALUE(MID(H243,4,2)),VALUE(LEFT(H243,2)))</f>
        <v>45480</v>
      </c>
      <c r="J243" s="9"/>
      <c r="K243" s="10" t="n">
        <v>494712</v>
      </c>
      <c r="L243" s="10" t="n">
        <v>0</v>
      </c>
      <c r="M243" s="10" t="n">
        <v>494712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n">
        <v>494712</v>
      </c>
      <c r="S243" s="10" t="n">
        <v>0</v>
      </c>
      <c r="T243" s="7"/>
      <c r="U243" s="7"/>
      <c r="V243" s="7"/>
      <c r="W243" s="7" t="s">
        <v>49</v>
      </c>
      <c r="X243" s="7"/>
      <c r="Y243" s="7" t="s">
        <v>37</v>
      </c>
      <c r="Z243" s="7" t="s">
        <v>932</v>
      </c>
      <c r="AA243" s="7" t="s">
        <v>933</v>
      </c>
      <c r="AB243" s="10" t="n">
        <v>494712</v>
      </c>
      <c r="AC243" s="10" t="n">
        <v>1</v>
      </c>
    </row>
    <row r="244" customFormat="false" ht="15.75" hidden="true" customHeight="true" outlineLevel="0" collapsed="false">
      <c r="A244" s="6"/>
      <c r="B244" s="7" t="s">
        <v>830</v>
      </c>
      <c r="C244" s="7" t="s">
        <v>31</v>
      </c>
      <c r="D244" s="7" t="s">
        <v>361</v>
      </c>
      <c r="E244" s="7" t="s">
        <v>934</v>
      </c>
      <c r="F244" s="8" t="s">
        <v>935</v>
      </c>
      <c r="G244" s="9" t="n">
        <f aca="false">DATE(2000+VALUE(MID(F244,7,2)),VALUE(MID(F244,4,2)),VALUE(LEFT(F244,2)))</f>
        <v>45479</v>
      </c>
      <c r="H244" s="8" t="s">
        <v>936</v>
      </c>
      <c r="I244" s="9" t="n">
        <f aca="false">DATE(2000+VALUE(MID(H244,7,2)),VALUE(MID(H244,4,2)),VALUE(LEFT(H244,2)))</f>
        <v>45480</v>
      </c>
      <c r="J244" s="9"/>
      <c r="K244" s="10" t="n">
        <v>490000</v>
      </c>
      <c r="L244" s="10" t="n">
        <v>0</v>
      </c>
      <c r="M244" s="10" t="n">
        <v>490000</v>
      </c>
      <c r="N244" s="10" t="n">
        <v>0</v>
      </c>
      <c r="O244" s="10" t="n">
        <v>490000</v>
      </c>
      <c r="P244" s="10" t="n">
        <v>0</v>
      </c>
      <c r="Q244" s="10" t="n">
        <v>0</v>
      </c>
      <c r="R244" s="10" t="n">
        <v>0</v>
      </c>
      <c r="S244" s="10" t="n">
        <v>0</v>
      </c>
      <c r="T244" s="7"/>
      <c r="U244" s="7"/>
      <c r="V244" s="7"/>
      <c r="W244" s="7" t="s">
        <v>43</v>
      </c>
      <c r="X244" s="7"/>
      <c r="Y244" s="7" t="s">
        <v>37</v>
      </c>
      <c r="Z244" s="7" t="s">
        <v>61</v>
      </c>
      <c r="AA244" s="7"/>
      <c r="AB244" s="10" t="n">
        <v>490000</v>
      </c>
      <c r="AC244" s="10" t="n">
        <v>1</v>
      </c>
    </row>
    <row r="245" customFormat="false" ht="15.75" hidden="true" customHeight="true" outlineLevel="0" collapsed="false">
      <c r="A245" s="6"/>
      <c r="B245" s="7" t="s">
        <v>772</v>
      </c>
      <c r="C245" s="7" t="s">
        <v>71</v>
      </c>
      <c r="D245" s="7" t="s">
        <v>72</v>
      </c>
      <c r="E245" s="7" t="s">
        <v>937</v>
      </c>
      <c r="F245" s="8" t="s">
        <v>935</v>
      </c>
      <c r="G245" s="9" t="n">
        <f aca="false">DATE(2000+VALUE(MID(F245,7,2)),VALUE(MID(F245,4,2)),VALUE(LEFT(F245,2)))</f>
        <v>45479</v>
      </c>
      <c r="H245" s="8" t="s">
        <v>938</v>
      </c>
      <c r="I245" s="9" t="n">
        <f aca="false">DATE(2000+VALUE(MID(H245,7,2)),VALUE(MID(H245,4,2)),VALUE(LEFT(H245,2)))</f>
        <v>45480</v>
      </c>
      <c r="J245" s="9"/>
      <c r="K245" s="10" t="n">
        <v>650000</v>
      </c>
      <c r="L245" s="10" t="n">
        <v>15000</v>
      </c>
      <c r="M245" s="10" t="n">
        <v>665000</v>
      </c>
      <c r="N245" s="10" t="n">
        <v>0</v>
      </c>
      <c r="O245" s="10" t="n">
        <v>15000</v>
      </c>
      <c r="P245" s="10" t="n">
        <v>0</v>
      </c>
      <c r="Q245" s="10" t="n">
        <v>650000</v>
      </c>
      <c r="R245" s="10" t="n">
        <v>0</v>
      </c>
      <c r="S245" s="10" t="n">
        <v>0</v>
      </c>
      <c r="T245" s="7"/>
      <c r="U245" s="7"/>
      <c r="V245" s="7"/>
      <c r="W245" s="7" t="s">
        <v>43</v>
      </c>
      <c r="X245" s="7"/>
      <c r="Y245" s="7" t="s">
        <v>37</v>
      </c>
      <c r="Z245" s="7" t="s">
        <v>939</v>
      </c>
      <c r="AA245" s="7"/>
      <c r="AB245" s="10" t="n">
        <v>650000</v>
      </c>
      <c r="AC245" s="10" t="n">
        <v>1</v>
      </c>
    </row>
    <row r="246" customFormat="false" ht="15.75" hidden="true" customHeight="true" outlineLevel="0" collapsed="false">
      <c r="A246" s="6"/>
      <c r="B246" s="7" t="s">
        <v>940</v>
      </c>
      <c r="C246" s="7" t="s">
        <v>71</v>
      </c>
      <c r="D246" s="7" t="s">
        <v>914</v>
      </c>
      <c r="E246" s="7" t="s">
        <v>941</v>
      </c>
      <c r="F246" s="8" t="s">
        <v>942</v>
      </c>
      <c r="G246" s="9" t="n">
        <f aca="false">DATE(2000+VALUE(MID(F246,7,2)),VALUE(MID(F246,4,2)),VALUE(LEFT(F246,2)))</f>
        <v>45480</v>
      </c>
      <c r="H246" s="8" t="s">
        <v>943</v>
      </c>
      <c r="I246" s="9" t="n">
        <f aca="false">DATE(2000+VALUE(MID(H246,7,2)),VALUE(MID(H246,4,2)),VALUE(LEFT(H246,2)))</f>
        <v>45480</v>
      </c>
      <c r="J246" s="9"/>
      <c r="K246" s="10" t="n">
        <v>801144</v>
      </c>
      <c r="L246" s="10" t="n">
        <v>0</v>
      </c>
      <c r="M246" s="10" t="n">
        <v>801144</v>
      </c>
      <c r="N246" s="10" t="n">
        <v>0</v>
      </c>
      <c r="O246" s="10" t="n">
        <v>0</v>
      </c>
      <c r="P246" s="10" t="n">
        <v>0</v>
      </c>
      <c r="Q246" s="10" t="n">
        <v>801144</v>
      </c>
      <c r="R246" s="10" t="n">
        <v>0</v>
      </c>
      <c r="S246" s="10" t="n">
        <v>0</v>
      </c>
      <c r="T246" s="7"/>
      <c r="U246" s="7"/>
      <c r="V246" s="7"/>
      <c r="W246" s="7" t="s">
        <v>49</v>
      </c>
      <c r="X246" s="7"/>
      <c r="Y246" s="7" t="s">
        <v>37</v>
      </c>
      <c r="Z246" s="7" t="s">
        <v>944</v>
      </c>
      <c r="AA246" s="7" t="s">
        <v>945</v>
      </c>
      <c r="AB246" s="10" t="n">
        <v>801144</v>
      </c>
      <c r="AC246" s="10" t="n">
        <v>1</v>
      </c>
    </row>
    <row r="247" customFormat="false" ht="15.75" hidden="true" customHeight="true" outlineLevel="0" collapsed="false">
      <c r="A247" s="6"/>
      <c r="B247" s="7" t="s">
        <v>895</v>
      </c>
      <c r="C247" s="7" t="s">
        <v>60</v>
      </c>
      <c r="D247" s="7" t="s">
        <v>173</v>
      </c>
      <c r="E247" s="7" t="s">
        <v>946</v>
      </c>
      <c r="F247" s="8" t="s">
        <v>947</v>
      </c>
      <c r="G247" s="9" t="n">
        <f aca="false">DATE(2000+VALUE(MID(F247,7,2)),VALUE(MID(F247,4,2)),VALUE(LEFT(F247,2)))</f>
        <v>45478</v>
      </c>
      <c r="H247" s="8" t="s">
        <v>948</v>
      </c>
      <c r="I247" s="9" t="n">
        <f aca="false">DATE(2000+VALUE(MID(H247,7,2)),VALUE(MID(H247,4,2)),VALUE(LEFT(H247,2)))</f>
        <v>45480</v>
      </c>
      <c r="J247" s="9"/>
      <c r="K247" s="10" t="n">
        <v>1070000</v>
      </c>
      <c r="L247" s="10" t="n">
        <v>29000</v>
      </c>
      <c r="M247" s="10" t="n">
        <v>1099000</v>
      </c>
      <c r="N247" s="10" t="n">
        <v>0</v>
      </c>
      <c r="O247" s="10" t="n">
        <v>0</v>
      </c>
      <c r="P247" s="10" t="n">
        <v>0</v>
      </c>
      <c r="Q247" s="10" t="n">
        <v>1099000</v>
      </c>
      <c r="R247" s="10" t="n">
        <v>0</v>
      </c>
      <c r="S247" s="10" t="n">
        <v>0</v>
      </c>
      <c r="T247" s="7"/>
      <c r="U247" s="7"/>
      <c r="V247" s="7"/>
      <c r="W247" s="7" t="s">
        <v>43</v>
      </c>
      <c r="X247" s="7"/>
      <c r="Y247" s="7" t="s">
        <v>37</v>
      </c>
      <c r="Z247" s="7" t="s">
        <v>949</v>
      </c>
      <c r="AA247" s="7"/>
      <c r="AB247" s="10" t="n">
        <v>535000</v>
      </c>
      <c r="AC247" s="10" t="n">
        <v>2</v>
      </c>
    </row>
    <row r="248" customFormat="false" ht="15.75" hidden="true" customHeight="true" outlineLevel="0" collapsed="false">
      <c r="A248" s="6"/>
      <c r="B248" s="7" t="s">
        <v>646</v>
      </c>
      <c r="C248" s="7" t="s">
        <v>65</v>
      </c>
      <c r="D248" s="7" t="s">
        <v>66</v>
      </c>
      <c r="E248" s="7" t="s">
        <v>950</v>
      </c>
      <c r="F248" s="8" t="s">
        <v>951</v>
      </c>
      <c r="G248" s="9" t="n">
        <f aca="false">DATE(2000+VALUE(MID(F248,7,2)),VALUE(MID(F248,4,2)),VALUE(LEFT(F248,2)))</f>
        <v>45468</v>
      </c>
      <c r="H248" s="8" t="s">
        <v>952</v>
      </c>
      <c r="I248" s="9" t="n">
        <f aca="false">DATE(2000+VALUE(MID(H248,7,2)),VALUE(MID(H248,4,2)),VALUE(LEFT(H248,2)))</f>
        <v>45480</v>
      </c>
      <c r="J248" s="9"/>
      <c r="K248" s="10" t="n">
        <v>6180000</v>
      </c>
      <c r="L248" s="10" t="n">
        <v>440000</v>
      </c>
      <c r="M248" s="10" t="n">
        <v>6620000</v>
      </c>
      <c r="N248" s="10" t="n">
        <v>0</v>
      </c>
      <c r="O248" s="10" t="n">
        <v>6620000</v>
      </c>
      <c r="P248" s="10" t="n">
        <v>0</v>
      </c>
      <c r="Q248" s="10" t="n">
        <v>0</v>
      </c>
      <c r="R248" s="10" t="n">
        <v>0</v>
      </c>
      <c r="S248" s="10" t="n">
        <v>0</v>
      </c>
      <c r="T248" s="7"/>
      <c r="U248" s="7"/>
      <c r="V248" s="7"/>
      <c r="W248" s="7" t="s">
        <v>43</v>
      </c>
      <c r="X248" s="7"/>
      <c r="Y248" s="7" t="s">
        <v>37</v>
      </c>
      <c r="Z248" s="7" t="s">
        <v>953</v>
      </c>
      <c r="AA248" s="7"/>
      <c r="AB248" s="10" t="n">
        <v>515000</v>
      </c>
      <c r="AC248" s="10" t="n">
        <v>12</v>
      </c>
    </row>
    <row r="249" customFormat="false" ht="15.75" hidden="true" customHeight="true" outlineLevel="0" collapsed="false">
      <c r="A249" s="6"/>
      <c r="B249" s="7" t="s">
        <v>823</v>
      </c>
      <c r="C249" s="7" t="s">
        <v>65</v>
      </c>
      <c r="D249" s="7" t="s">
        <v>96</v>
      </c>
      <c r="E249" s="7" t="s">
        <v>954</v>
      </c>
      <c r="F249" s="8" t="s">
        <v>955</v>
      </c>
      <c r="G249" s="9" t="n">
        <f aca="false">DATE(2000+VALUE(MID(F249,7,2)),VALUE(MID(F249,4,2)),VALUE(LEFT(F249,2)))</f>
        <v>45480</v>
      </c>
      <c r="H249" s="8" t="s">
        <v>956</v>
      </c>
      <c r="I249" s="9" t="n">
        <f aca="false">DATE(2000+VALUE(MID(H249,7,2)),VALUE(MID(H249,4,2)),VALUE(LEFT(H249,2)))</f>
        <v>45480</v>
      </c>
      <c r="J249" s="9"/>
      <c r="K249" s="10" t="n">
        <v>470000</v>
      </c>
      <c r="L249" s="10" t="n">
        <v>30000</v>
      </c>
      <c r="M249" s="10" t="n">
        <v>500000</v>
      </c>
      <c r="N249" s="10" t="n">
        <v>0</v>
      </c>
      <c r="O249" s="10" t="n">
        <v>500000</v>
      </c>
      <c r="P249" s="10" t="n">
        <v>0</v>
      </c>
      <c r="Q249" s="10" t="n">
        <v>0</v>
      </c>
      <c r="R249" s="10" t="n">
        <v>0</v>
      </c>
      <c r="S249" s="10" t="n">
        <v>0</v>
      </c>
      <c r="T249" s="7"/>
      <c r="U249" s="7"/>
      <c r="V249" s="7"/>
      <c r="W249" s="7" t="s">
        <v>43</v>
      </c>
      <c r="X249" s="7"/>
      <c r="Y249" s="7" t="s">
        <v>37</v>
      </c>
      <c r="Z249" s="7" t="s">
        <v>957</v>
      </c>
      <c r="AA249" s="7"/>
      <c r="AB249" s="10" t="n">
        <v>470000</v>
      </c>
      <c r="AC249" s="10" t="n">
        <v>1</v>
      </c>
    </row>
    <row r="250" customFormat="false" ht="15.75" hidden="true" customHeight="true" outlineLevel="0" collapsed="false">
      <c r="A250" s="6"/>
      <c r="B250" s="7" t="s">
        <v>775</v>
      </c>
      <c r="C250" s="7" t="s">
        <v>31</v>
      </c>
      <c r="D250" s="7" t="s">
        <v>440</v>
      </c>
      <c r="E250" s="7" t="s">
        <v>753</v>
      </c>
      <c r="F250" s="8" t="s">
        <v>958</v>
      </c>
      <c r="G250" s="9" t="n">
        <f aca="false">DATE(2000+VALUE(MID(F250,7,2)),VALUE(MID(F250,4,2)),VALUE(LEFT(F250,2)))</f>
        <v>45477</v>
      </c>
      <c r="H250" s="8" t="s">
        <v>959</v>
      </c>
      <c r="I250" s="9" t="n">
        <f aca="false">DATE(2000+VALUE(MID(H250,7,2)),VALUE(MID(H250,4,2)),VALUE(LEFT(H250,2)))</f>
        <v>45481</v>
      </c>
      <c r="J250" s="9"/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0</v>
      </c>
      <c r="T250" s="7"/>
      <c r="U250" s="7"/>
      <c r="V250" s="7"/>
      <c r="W250" s="7" t="s">
        <v>36</v>
      </c>
      <c r="X250" s="7"/>
      <c r="Y250" s="7" t="s">
        <v>37</v>
      </c>
      <c r="Z250" s="7" t="s">
        <v>960</v>
      </c>
      <c r="AA250" s="7"/>
      <c r="AB250" s="10" t="n">
        <v>0</v>
      </c>
      <c r="AC250" s="10" t="n">
        <v>4</v>
      </c>
    </row>
    <row r="251" customFormat="false" ht="15.75" hidden="true" customHeight="true" outlineLevel="0" collapsed="false">
      <c r="A251" s="6"/>
      <c r="B251" s="7" t="s">
        <v>733</v>
      </c>
      <c r="C251" s="7" t="s">
        <v>65</v>
      </c>
      <c r="D251" s="7" t="s">
        <v>156</v>
      </c>
      <c r="E251" s="7" t="s">
        <v>961</v>
      </c>
      <c r="F251" s="8" t="s">
        <v>962</v>
      </c>
      <c r="G251" s="9" t="n">
        <f aca="false">DATE(2000+VALUE(MID(F251,7,2)),VALUE(MID(F251,4,2)),VALUE(LEFT(F251,2)))</f>
        <v>45478</v>
      </c>
      <c r="H251" s="8" t="s">
        <v>963</v>
      </c>
      <c r="I251" s="9" t="n">
        <f aca="false">DATE(2000+VALUE(MID(H251,7,2)),VALUE(MID(H251,4,2)),VALUE(LEFT(H251,2)))</f>
        <v>45481</v>
      </c>
      <c r="J251" s="9"/>
      <c r="K251" s="10" t="n">
        <v>1665000</v>
      </c>
      <c r="L251" s="10" t="n">
        <v>30000</v>
      </c>
      <c r="M251" s="10" t="n">
        <v>1695000</v>
      </c>
      <c r="N251" s="10" t="n">
        <v>0</v>
      </c>
      <c r="O251" s="10" t="n">
        <v>30000</v>
      </c>
      <c r="P251" s="10" t="n">
        <v>0</v>
      </c>
      <c r="Q251" s="10" t="n">
        <v>1665000</v>
      </c>
      <c r="R251" s="10" t="n">
        <v>0</v>
      </c>
      <c r="S251" s="10" t="n">
        <v>0</v>
      </c>
      <c r="T251" s="7"/>
      <c r="U251" s="7"/>
      <c r="V251" s="7"/>
      <c r="W251" s="7" t="s">
        <v>43</v>
      </c>
      <c r="X251" s="7"/>
      <c r="Y251" s="7" t="s">
        <v>37</v>
      </c>
      <c r="Z251" s="7" t="s">
        <v>964</v>
      </c>
      <c r="AA251" s="7"/>
      <c r="AB251" s="10" t="n">
        <v>555000</v>
      </c>
      <c r="AC251" s="10" t="n">
        <v>3</v>
      </c>
    </row>
    <row r="252" customFormat="false" ht="15.75" hidden="true" customHeight="true" outlineLevel="0" collapsed="false">
      <c r="A252" s="6"/>
      <c r="B252" s="7" t="s">
        <v>751</v>
      </c>
      <c r="C252" s="7" t="s">
        <v>60</v>
      </c>
      <c r="D252" s="7" t="s">
        <v>61</v>
      </c>
      <c r="E252" s="7" t="s">
        <v>798</v>
      </c>
      <c r="F252" s="8" t="s">
        <v>965</v>
      </c>
      <c r="G252" s="9" t="n">
        <f aca="false">DATE(2000+VALUE(MID(F252,7,2)),VALUE(MID(F252,4,2)),VALUE(LEFT(F252,2)))</f>
        <v>45473</v>
      </c>
      <c r="H252" s="8" t="s">
        <v>966</v>
      </c>
      <c r="I252" s="9" t="n">
        <f aca="false">DATE(2000+VALUE(MID(H252,7,2)),VALUE(MID(H252,4,2)),VALUE(LEFT(H252,2)))</f>
        <v>45481</v>
      </c>
      <c r="J252" s="9"/>
      <c r="K252" s="10" t="n">
        <v>4680000</v>
      </c>
      <c r="L252" s="10" t="n">
        <v>135000</v>
      </c>
      <c r="M252" s="10" t="n">
        <v>4815000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4815000</v>
      </c>
      <c r="S252" s="10" t="n">
        <v>0</v>
      </c>
      <c r="T252" s="7"/>
      <c r="U252" s="7"/>
      <c r="V252" s="7"/>
      <c r="W252" s="7" t="s">
        <v>43</v>
      </c>
      <c r="X252" s="7"/>
      <c r="Y252" s="7" t="s">
        <v>37</v>
      </c>
      <c r="Z252" s="7" t="s">
        <v>940</v>
      </c>
      <c r="AA252" s="7"/>
      <c r="AB252" s="10" t="n">
        <v>585000</v>
      </c>
      <c r="AC252" s="10" t="n">
        <v>8</v>
      </c>
    </row>
    <row r="253" customFormat="false" ht="15.75" hidden="true" customHeight="true" outlineLevel="0" collapsed="false">
      <c r="A253" s="6"/>
      <c r="B253" s="7" t="s">
        <v>787</v>
      </c>
      <c r="C253" s="7" t="s">
        <v>60</v>
      </c>
      <c r="D253" s="7" t="s">
        <v>164</v>
      </c>
      <c r="E253" s="7" t="s">
        <v>967</v>
      </c>
      <c r="F253" s="8" t="s">
        <v>968</v>
      </c>
      <c r="G253" s="9" t="n">
        <f aca="false">DATE(2000+VALUE(MID(F253,7,2)),VALUE(MID(F253,4,2)),VALUE(LEFT(F253,2)))</f>
        <v>45480</v>
      </c>
      <c r="H253" s="8" t="s">
        <v>969</v>
      </c>
      <c r="I253" s="9" t="n">
        <f aca="false">DATE(2000+VALUE(MID(H253,7,2)),VALUE(MID(H253,4,2)),VALUE(LEFT(H253,2)))</f>
        <v>45481</v>
      </c>
      <c r="J253" s="9"/>
      <c r="K253" s="10" t="n">
        <v>549000</v>
      </c>
      <c r="L253" s="10" t="n">
        <v>215000</v>
      </c>
      <c r="M253" s="10" t="n">
        <v>710000</v>
      </c>
      <c r="N253" s="10" t="n">
        <v>0</v>
      </c>
      <c r="O253" s="10" t="n">
        <v>215000</v>
      </c>
      <c r="P253" s="10" t="n">
        <v>0</v>
      </c>
      <c r="Q253" s="10" t="n">
        <v>495000</v>
      </c>
      <c r="R253" s="10" t="n">
        <v>0</v>
      </c>
      <c r="S253" s="10" t="n">
        <v>0</v>
      </c>
      <c r="T253" s="7"/>
      <c r="U253" s="7"/>
      <c r="V253" s="7"/>
      <c r="W253" s="7" t="s">
        <v>43</v>
      </c>
      <c r="X253" s="7"/>
      <c r="Y253" s="7" t="s">
        <v>37</v>
      </c>
      <c r="Z253" s="7" t="s">
        <v>970</v>
      </c>
      <c r="AA253" s="7" t="s">
        <v>971</v>
      </c>
      <c r="AB253" s="10" t="n">
        <v>549000</v>
      </c>
      <c r="AC253" s="10" t="n">
        <v>1</v>
      </c>
    </row>
    <row r="254" customFormat="false" ht="15.75" hidden="true" customHeight="true" outlineLevel="0" collapsed="false">
      <c r="A254" s="6"/>
      <c r="B254" s="7" t="s">
        <v>779</v>
      </c>
      <c r="C254" s="7" t="s">
        <v>31</v>
      </c>
      <c r="D254" s="7" t="s">
        <v>32</v>
      </c>
      <c r="E254" s="7" t="s">
        <v>972</v>
      </c>
      <c r="F254" s="8" t="s">
        <v>973</v>
      </c>
      <c r="G254" s="9" t="n">
        <f aca="false">DATE(2000+VALUE(MID(F254,7,2)),VALUE(MID(F254,4,2)),VALUE(LEFT(F254,2)))</f>
        <v>45478</v>
      </c>
      <c r="H254" s="8" t="s">
        <v>974</v>
      </c>
      <c r="I254" s="9" t="n">
        <f aca="false">DATE(2000+VALUE(MID(H254,7,2)),VALUE(MID(H254,4,2)),VALUE(LEFT(H254,2)))</f>
        <v>45481</v>
      </c>
      <c r="J254" s="9"/>
      <c r="K254" s="10" t="n">
        <v>1641960</v>
      </c>
      <c r="L254" s="10" t="n">
        <v>0</v>
      </c>
      <c r="M254" s="10" t="n">
        <v>1641960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1641960</v>
      </c>
      <c r="S254" s="10" t="n">
        <v>0</v>
      </c>
      <c r="T254" s="7"/>
      <c r="U254" s="7"/>
      <c r="V254" s="7"/>
      <c r="W254" s="7" t="s">
        <v>49</v>
      </c>
      <c r="X254" s="7"/>
      <c r="Y254" s="7" t="s">
        <v>37</v>
      </c>
      <c r="Z254" s="7" t="s">
        <v>975</v>
      </c>
      <c r="AA254" s="7" t="s">
        <v>976</v>
      </c>
      <c r="AB254" s="10" t="n">
        <v>547320</v>
      </c>
      <c r="AC254" s="10" t="n">
        <v>3</v>
      </c>
    </row>
    <row r="255" customFormat="false" ht="15.75" hidden="true" customHeight="true" outlineLevel="0" collapsed="false">
      <c r="A255" s="6"/>
      <c r="B255" s="7" t="s">
        <v>977</v>
      </c>
      <c r="C255" s="7" t="s">
        <v>71</v>
      </c>
      <c r="D255" s="7" t="s">
        <v>72</v>
      </c>
      <c r="E255" s="7" t="s">
        <v>887</v>
      </c>
      <c r="F255" s="8" t="s">
        <v>978</v>
      </c>
      <c r="G255" s="9" t="n">
        <f aca="false">DATE(2000+VALUE(MID(F255,7,2)),VALUE(MID(F255,4,2)),VALUE(LEFT(F255,2)))</f>
        <v>45481</v>
      </c>
      <c r="H255" s="8" t="s">
        <v>979</v>
      </c>
      <c r="I255" s="9" t="n">
        <f aca="false">DATE(2000+VALUE(MID(H255,7,2)),VALUE(MID(H255,4,2)),VALUE(LEFT(H255,2)))</f>
        <v>45481</v>
      </c>
      <c r="J255" s="9"/>
      <c r="K255" s="10" t="n">
        <v>350000</v>
      </c>
      <c r="L255" s="10" t="n">
        <v>0</v>
      </c>
      <c r="M255" s="10" t="n">
        <v>350000</v>
      </c>
      <c r="N255" s="10" t="n">
        <v>0</v>
      </c>
      <c r="O255" s="10" t="n">
        <v>350000</v>
      </c>
      <c r="P255" s="10" t="n">
        <v>0</v>
      </c>
      <c r="Q255" s="10" t="n">
        <v>0</v>
      </c>
      <c r="R255" s="10" t="n">
        <v>0</v>
      </c>
      <c r="S255" s="10" t="n">
        <v>0</v>
      </c>
      <c r="T255" s="7"/>
      <c r="U255" s="7"/>
      <c r="V255" s="7"/>
      <c r="W255" s="7" t="s">
        <v>43</v>
      </c>
      <c r="X255" s="7"/>
      <c r="Y255" s="7" t="s">
        <v>37</v>
      </c>
      <c r="Z255" s="7" t="s">
        <v>980</v>
      </c>
      <c r="AA255" s="7"/>
      <c r="AB255" s="10" t="n">
        <v>350000</v>
      </c>
      <c r="AC255" s="10" t="n">
        <v>1</v>
      </c>
    </row>
    <row r="256" customFormat="false" ht="15.75" hidden="true" customHeight="true" outlineLevel="0" collapsed="false">
      <c r="A256" s="6"/>
      <c r="B256" s="7" t="s">
        <v>858</v>
      </c>
      <c r="C256" s="7" t="s">
        <v>65</v>
      </c>
      <c r="D256" s="7" t="s">
        <v>76</v>
      </c>
      <c r="E256" s="7" t="s">
        <v>981</v>
      </c>
      <c r="F256" s="8" t="s">
        <v>982</v>
      </c>
      <c r="G256" s="9" t="n">
        <f aca="false">DATE(2000+VALUE(MID(F256,7,2)),VALUE(MID(F256,4,2)),VALUE(LEFT(F256,2)))</f>
        <v>45480</v>
      </c>
      <c r="H256" s="8" t="s">
        <v>983</v>
      </c>
      <c r="I256" s="9" t="n">
        <f aca="false">DATE(2000+VALUE(MID(H256,7,2)),VALUE(MID(H256,4,2)),VALUE(LEFT(H256,2)))</f>
        <v>45482</v>
      </c>
      <c r="J256" s="9"/>
      <c r="K256" s="10" t="n">
        <v>988000</v>
      </c>
      <c r="L256" s="10" t="n">
        <v>0</v>
      </c>
      <c r="M256" s="10" t="n">
        <v>988000</v>
      </c>
      <c r="N256" s="10" t="n">
        <v>0</v>
      </c>
      <c r="O256" s="10" t="n">
        <v>0</v>
      </c>
      <c r="P256" s="10" t="n">
        <v>0</v>
      </c>
      <c r="Q256" s="10" t="n">
        <v>988000</v>
      </c>
      <c r="R256" s="10" t="n">
        <v>0</v>
      </c>
      <c r="S256" s="10" t="n">
        <v>0</v>
      </c>
      <c r="T256" s="7"/>
      <c r="U256" s="7"/>
      <c r="V256" s="7"/>
      <c r="W256" s="7" t="s">
        <v>43</v>
      </c>
      <c r="X256" s="7"/>
      <c r="Y256" s="7" t="s">
        <v>37</v>
      </c>
      <c r="Z256" s="7" t="s">
        <v>984</v>
      </c>
      <c r="AA256" s="7"/>
      <c r="AB256" s="10" t="n">
        <v>494000</v>
      </c>
      <c r="AC256" s="10" t="n">
        <v>2</v>
      </c>
    </row>
    <row r="257" customFormat="false" ht="15.75" hidden="true" customHeight="true" outlineLevel="0" collapsed="false">
      <c r="A257" s="6"/>
      <c r="B257" s="7" t="s">
        <v>810</v>
      </c>
      <c r="C257" s="7" t="s">
        <v>31</v>
      </c>
      <c r="D257" s="7" t="s">
        <v>32</v>
      </c>
      <c r="E257" s="7" t="s">
        <v>985</v>
      </c>
      <c r="F257" s="8" t="s">
        <v>986</v>
      </c>
      <c r="G257" s="9" t="n">
        <f aca="false">DATE(2000+VALUE(MID(F257,7,2)),VALUE(MID(F257,4,2)),VALUE(LEFT(F257,2)))</f>
        <v>45481</v>
      </c>
      <c r="H257" s="8" t="s">
        <v>983</v>
      </c>
      <c r="I257" s="9" t="n">
        <f aca="false">DATE(2000+VALUE(MID(H257,7,2)),VALUE(MID(H257,4,2)),VALUE(LEFT(H257,2)))</f>
        <v>45482</v>
      </c>
      <c r="J257" s="9"/>
      <c r="K257" s="10" t="n">
        <v>450000</v>
      </c>
      <c r="L257" s="10" t="n">
        <v>0</v>
      </c>
      <c r="M257" s="10" t="n">
        <v>450000</v>
      </c>
      <c r="N257" s="10" t="n">
        <v>0</v>
      </c>
      <c r="O257" s="10" t="n">
        <v>0</v>
      </c>
      <c r="P257" s="10" t="n">
        <v>0</v>
      </c>
      <c r="Q257" s="10" t="n">
        <v>450000</v>
      </c>
      <c r="R257" s="10" t="n">
        <v>0</v>
      </c>
      <c r="S257" s="10" t="n">
        <v>0</v>
      </c>
      <c r="T257" s="7"/>
      <c r="U257" s="7"/>
      <c r="V257" s="7"/>
      <c r="W257" s="7" t="s">
        <v>43</v>
      </c>
      <c r="X257" s="7"/>
      <c r="Y257" s="7" t="s">
        <v>37</v>
      </c>
      <c r="Z257" s="7" t="s">
        <v>987</v>
      </c>
      <c r="AA257" s="7"/>
      <c r="AB257" s="10" t="n">
        <v>450000</v>
      </c>
      <c r="AC257" s="10" t="n">
        <v>1</v>
      </c>
    </row>
    <row r="258" customFormat="false" ht="15.75" hidden="true" customHeight="true" outlineLevel="0" collapsed="false">
      <c r="A258" s="6"/>
      <c r="B258" s="7" t="s">
        <v>879</v>
      </c>
      <c r="C258" s="7" t="s">
        <v>31</v>
      </c>
      <c r="D258" s="7" t="s">
        <v>32</v>
      </c>
      <c r="E258" s="7" t="s">
        <v>887</v>
      </c>
      <c r="F258" s="8" t="s">
        <v>988</v>
      </c>
      <c r="G258" s="9" t="n">
        <f aca="false">DATE(2000+VALUE(MID(F258,7,2)),VALUE(MID(F258,4,2)),VALUE(LEFT(F258,2)))</f>
        <v>45482</v>
      </c>
      <c r="H258" s="8" t="s">
        <v>989</v>
      </c>
      <c r="I258" s="9" t="n">
        <f aca="false">DATE(2000+VALUE(MID(H258,7,2)),VALUE(MID(H258,4,2)),VALUE(LEFT(H258,2)))</f>
        <v>45482</v>
      </c>
      <c r="J258" s="9"/>
      <c r="K258" s="10" t="n">
        <v>350000</v>
      </c>
      <c r="L258" s="10" t="n">
        <v>0</v>
      </c>
      <c r="M258" s="10" t="n">
        <v>350000</v>
      </c>
      <c r="N258" s="10" t="n">
        <v>0</v>
      </c>
      <c r="O258" s="10" t="n">
        <v>350000</v>
      </c>
      <c r="P258" s="10" t="n">
        <v>0</v>
      </c>
      <c r="Q258" s="10" t="n">
        <v>0</v>
      </c>
      <c r="R258" s="10" t="n">
        <v>0</v>
      </c>
      <c r="S258" s="10" t="n">
        <v>0</v>
      </c>
      <c r="T258" s="7"/>
      <c r="U258" s="7"/>
      <c r="V258" s="7"/>
      <c r="W258" s="7" t="s">
        <v>43</v>
      </c>
      <c r="X258" s="7"/>
      <c r="Y258" s="7" t="s">
        <v>37</v>
      </c>
      <c r="Z258" s="7" t="s">
        <v>990</v>
      </c>
      <c r="AA258" s="7"/>
      <c r="AB258" s="10" t="n">
        <v>350000</v>
      </c>
      <c r="AC258" s="10" t="n">
        <v>1</v>
      </c>
    </row>
    <row r="259" customFormat="false" ht="15.75" hidden="true" customHeight="true" outlineLevel="0" collapsed="false">
      <c r="A259" s="6"/>
      <c r="B259" s="7" t="s">
        <v>991</v>
      </c>
      <c r="C259" s="7" t="s">
        <v>60</v>
      </c>
      <c r="D259" s="7" t="s">
        <v>61</v>
      </c>
      <c r="E259" s="7" t="s">
        <v>992</v>
      </c>
      <c r="F259" s="8" t="s">
        <v>993</v>
      </c>
      <c r="G259" s="9" t="n">
        <f aca="false">DATE(2000+VALUE(MID(F259,7,2)),VALUE(MID(F259,4,2)),VALUE(LEFT(F259,2)))</f>
        <v>45481</v>
      </c>
      <c r="H259" s="8" t="s">
        <v>994</v>
      </c>
      <c r="I259" s="9" t="n">
        <f aca="false">DATE(2000+VALUE(MID(H259,7,2)),VALUE(MID(H259,4,2)),VALUE(LEFT(H259,2)))</f>
        <v>45483</v>
      </c>
      <c r="J259" s="9"/>
      <c r="K259" s="10" t="n">
        <v>990000</v>
      </c>
      <c r="L259" s="10" t="n">
        <v>0</v>
      </c>
      <c r="M259" s="10" t="n">
        <v>990000</v>
      </c>
      <c r="N259" s="10" t="n">
        <v>0</v>
      </c>
      <c r="O259" s="10" t="n">
        <v>990000</v>
      </c>
      <c r="P259" s="10" t="n">
        <v>0</v>
      </c>
      <c r="Q259" s="10" t="n">
        <v>0</v>
      </c>
      <c r="R259" s="10" t="n">
        <v>0</v>
      </c>
      <c r="S259" s="10" t="n">
        <v>0</v>
      </c>
      <c r="T259" s="7"/>
      <c r="U259" s="7"/>
      <c r="V259" s="7"/>
      <c r="W259" s="7" t="s">
        <v>43</v>
      </c>
      <c r="X259" s="7"/>
      <c r="Y259" s="7" t="s">
        <v>37</v>
      </c>
      <c r="Z259" s="7" t="s">
        <v>995</v>
      </c>
      <c r="AA259" s="7"/>
      <c r="AB259" s="10" t="n">
        <v>495000</v>
      </c>
      <c r="AC259" s="10" t="n">
        <v>2</v>
      </c>
    </row>
    <row r="260" customFormat="false" ht="15.75" hidden="true" customHeight="true" outlineLevel="0" collapsed="false">
      <c r="A260" s="6"/>
      <c r="B260" s="7" t="s">
        <v>996</v>
      </c>
      <c r="C260" s="7" t="s">
        <v>60</v>
      </c>
      <c r="D260" s="7" t="s">
        <v>173</v>
      </c>
      <c r="E260" s="7" t="s">
        <v>202</v>
      </c>
      <c r="F260" s="8" t="s">
        <v>997</v>
      </c>
      <c r="G260" s="9" t="n">
        <f aca="false">DATE(2000+VALUE(MID(F260,7,2)),VALUE(MID(F260,4,2)),VALUE(LEFT(F260,2)))</f>
        <v>45481</v>
      </c>
      <c r="H260" s="8" t="s">
        <v>998</v>
      </c>
      <c r="I260" s="9" t="n">
        <f aca="false">DATE(2000+VALUE(MID(H260,7,2)),VALUE(MID(H260,4,2)),VALUE(LEFT(H260,2)))</f>
        <v>45483</v>
      </c>
      <c r="J260" s="9"/>
      <c r="K260" s="10" t="n">
        <v>990000</v>
      </c>
      <c r="L260" s="10" t="n">
        <v>0</v>
      </c>
      <c r="M260" s="10" t="n">
        <v>990000</v>
      </c>
      <c r="N260" s="10" t="n">
        <v>0</v>
      </c>
      <c r="O260" s="10" t="n">
        <v>0</v>
      </c>
      <c r="P260" s="10" t="n">
        <v>0</v>
      </c>
      <c r="Q260" s="10" t="n">
        <v>990000</v>
      </c>
      <c r="R260" s="10" t="n">
        <v>0</v>
      </c>
      <c r="S260" s="10" t="n">
        <v>0</v>
      </c>
      <c r="T260" s="7"/>
      <c r="U260" s="7"/>
      <c r="V260" s="7"/>
      <c r="W260" s="7" t="s">
        <v>43</v>
      </c>
      <c r="X260" s="7"/>
      <c r="Y260" s="7" t="s">
        <v>37</v>
      </c>
      <c r="Z260" s="7" t="s">
        <v>999</v>
      </c>
      <c r="AA260" s="7"/>
      <c r="AB260" s="10" t="n">
        <v>495000</v>
      </c>
      <c r="AC260" s="10" t="n">
        <v>2</v>
      </c>
    </row>
    <row r="261" customFormat="false" ht="15.75" hidden="true" customHeight="true" outlineLevel="0" collapsed="false">
      <c r="A261" s="6"/>
      <c r="B261" s="7" t="s">
        <v>996</v>
      </c>
      <c r="C261" s="7" t="s">
        <v>65</v>
      </c>
      <c r="D261" s="7" t="s">
        <v>156</v>
      </c>
      <c r="E261" s="7" t="s">
        <v>1000</v>
      </c>
      <c r="F261" s="8" t="s">
        <v>997</v>
      </c>
      <c r="G261" s="9" t="n">
        <f aca="false">DATE(2000+VALUE(MID(F261,7,2)),VALUE(MID(F261,4,2)),VALUE(LEFT(F261,2)))</f>
        <v>45481</v>
      </c>
      <c r="H261" s="8" t="s">
        <v>998</v>
      </c>
      <c r="I261" s="9" t="n">
        <f aca="false">DATE(2000+VALUE(MID(H261,7,2)),VALUE(MID(H261,4,2)),VALUE(LEFT(H261,2)))</f>
        <v>45483</v>
      </c>
      <c r="J261" s="9"/>
      <c r="K261" s="10" t="n">
        <v>990000</v>
      </c>
      <c r="L261" s="10" t="n">
        <v>0</v>
      </c>
      <c r="M261" s="10" t="n">
        <v>990000</v>
      </c>
      <c r="N261" s="10" t="n">
        <v>0</v>
      </c>
      <c r="O261" s="10" t="n">
        <v>0</v>
      </c>
      <c r="P261" s="10" t="n">
        <v>0</v>
      </c>
      <c r="Q261" s="10" t="n">
        <v>990000</v>
      </c>
      <c r="R261" s="10" t="n">
        <v>0</v>
      </c>
      <c r="S261" s="10" t="n">
        <v>0</v>
      </c>
      <c r="T261" s="7"/>
      <c r="U261" s="7"/>
      <c r="V261" s="7"/>
      <c r="W261" s="7" t="s">
        <v>43</v>
      </c>
      <c r="X261" s="7"/>
      <c r="Y261" s="7" t="s">
        <v>37</v>
      </c>
      <c r="Z261" s="7" t="s">
        <v>1001</v>
      </c>
      <c r="AA261" s="7"/>
      <c r="AB261" s="10" t="n">
        <v>495000</v>
      </c>
      <c r="AC261" s="10" t="n">
        <v>2</v>
      </c>
    </row>
    <row r="262" customFormat="false" ht="15.75" hidden="true" customHeight="true" outlineLevel="0" collapsed="false">
      <c r="A262" s="6"/>
      <c r="B262" s="7" t="s">
        <v>1002</v>
      </c>
      <c r="C262" s="7" t="s">
        <v>65</v>
      </c>
      <c r="D262" s="7" t="s">
        <v>76</v>
      </c>
      <c r="E262" s="7" t="s">
        <v>1003</v>
      </c>
      <c r="F262" s="8" t="s">
        <v>1004</v>
      </c>
      <c r="G262" s="9" t="n">
        <f aca="false">DATE(2000+VALUE(MID(F262,7,2)),VALUE(MID(F262,4,2)),VALUE(LEFT(F262,2)))</f>
        <v>45482</v>
      </c>
      <c r="H262" s="8" t="s">
        <v>998</v>
      </c>
      <c r="I262" s="9" t="n">
        <f aca="false">DATE(2000+VALUE(MID(H262,7,2)),VALUE(MID(H262,4,2)),VALUE(LEFT(H262,2)))</f>
        <v>45483</v>
      </c>
      <c r="J262" s="9"/>
      <c r="K262" s="10" t="n">
        <v>470000</v>
      </c>
      <c r="L262" s="10" t="n">
        <v>0</v>
      </c>
      <c r="M262" s="10" t="n">
        <v>470000</v>
      </c>
      <c r="N262" s="10" t="n">
        <v>0</v>
      </c>
      <c r="O262" s="10" t="n">
        <v>470000</v>
      </c>
      <c r="P262" s="10" t="n">
        <v>0</v>
      </c>
      <c r="Q262" s="10" t="n">
        <v>0</v>
      </c>
      <c r="R262" s="10" t="n">
        <v>0</v>
      </c>
      <c r="S262" s="10" t="n">
        <v>0</v>
      </c>
      <c r="T262" s="7"/>
      <c r="U262" s="7"/>
      <c r="V262" s="7"/>
      <c r="W262" s="7" t="s">
        <v>43</v>
      </c>
      <c r="X262" s="7"/>
      <c r="Y262" s="7" t="s">
        <v>37</v>
      </c>
      <c r="Z262" s="7" t="s">
        <v>1005</v>
      </c>
      <c r="AA262" s="7"/>
      <c r="AB262" s="10" t="n">
        <v>470000</v>
      </c>
      <c r="AC262" s="10" t="n">
        <v>1</v>
      </c>
    </row>
    <row r="263" customFormat="false" ht="15.75" hidden="true" customHeight="true" outlineLevel="0" collapsed="false">
      <c r="A263" s="6"/>
      <c r="B263" s="7" t="s">
        <v>1006</v>
      </c>
      <c r="C263" s="7" t="s">
        <v>71</v>
      </c>
      <c r="D263" s="7" t="s">
        <v>92</v>
      </c>
      <c r="E263" s="7" t="s">
        <v>1007</v>
      </c>
      <c r="F263" s="8" t="s">
        <v>1008</v>
      </c>
      <c r="G263" s="9" t="n">
        <f aca="false">DATE(2000+VALUE(MID(F263,7,2)),VALUE(MID(F263,4,2)),VALUE(LEFT(F263,2)))</f>
        <v>45483</v>
      </c>
      <c r="H263" s="8" t="s">
        <v>1009</v>
      </c>
      <c r="I263" s="9" t="n">
        <f aca="false">DATE(2000+VALUE(MID(H263,7,2)),VALUE(MID(H263,4,2)),VALUE(LEFT(H263,2)))</f>
        <v>45483</v>
      </c>
      <c r="J263" s="9"/>
      <c r="K263" s="10" t="n">
        <v>560000</v>
      </c>
      <c r="L263" s="10" t="n">
        <v>0</v>
      </c>
      <c r="M263" s="10" t="n">
        <v>560000</v>
      </c>
      <c r="N263" s="10" t="n">
        <v>0</v>
      </c>
      <c r="O263" s="10" t="n">
        <v>560000</v>
      </c>
      <c r="P263" s="10" t="n">
        <v>0</v>
      </c>
      <c r="Q263" s="10" t="n">
        <v>0</v>
      </c>
      <c r="R263" s="10" t="n">
        <v>0</v>
      </c>
      <c r="S263" s="10" t="n">
        <v>0</v>
      </c>
      <c r="T263" s="7"/>
      <c r="U263" s="7"/>
      <c r="V263" s="7"/>
      <c r="W263" s="7" t="s">
        <v>43</v>
      </c>
      <c r="X263" s="7"/>
      <c r="Y263" s="7" t="s">
        <v>37</v>
      </c>
      <c r="Z263" s="7" t="s">
        <v>1010</v>
      </c>
      <c r="AA263" s="7"/>
      <c r="AB263" s="10" t="n">
        <v>560000</v>
      </c>
      <c r="AC263" s="10" t="n">
        <v>1</v>
      </c>
    </row>
    <row r="264" customFormat="false" ht="15.75" hidden="true" customHeight="true" outlineLevel="0" collapsed="false">
      <c r="A264" s="6"/>
      <c r="B264" s="7" t="s">
        <v>1011</v>
      </c>
      <c r="C264" s="7" t="s">
        <v>65</v>
      </c>
      <c r="D264" s="7" t="s">
        <v>66</v>
      </c>
      <c r="E264" s="7" t="s">
        <v>972</v>
      </c>
      <c r="F264" s="8" t="s">
        <v>997</v>
      </c>
      <c r="G264" s="9" t="n">
        <f aca="false">DATE(2000+VALUE(MID(F264,7,2)),VALUE(MID(F264,4,2)),VALUE(LEFT(F264,2)))</f>
        <v>45481</v>
      </c>
      <c r="H264" s="8" t="s">
        <v>1012</v>
      </c>
      <c r="I264" s="9" t="n">
        <f aca="false">DATE(2000+VALUE(MID(H264,7,2)),VALUE(MID(H264,4,2)),VALUE(LEFT(H264,2)))</f>
        <v>45483</v>
      </c>
      <c r="J264" s="9"/>
      <c r="K264" s="10" t="n">
        <v>889920</v>
      </c>
      <c r="L264" s="10" t="n">
        <v>0</v>
      </c>
      <c r="M264" s="10" t="n">
        <v>889920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889920</v>
      </c>
      <c r="S264" s="10" t="n">
        <v>0</v>
      </c>
      <c r="T264" s="7"/>
      <c r="U264" s="7"/>
      <c r="V264" s="7"/>
      <c r="W264" s="7" t="s">
        <v>49</v>
      </c>
      <c r="X264" s="7"/>
      <c r="Y264" s="7" t="s">
        <v>37</v>
      </c>
      <c r="Z264" s="7" t="s">
        <v>1013</v>
      </c>
      <c r="AA264" s="7" t="s">
        <v>1014</v>
      </c>
      <c r="AB264" s="10" t="n">
        <v>444960</v>
      </c>
      <c r="AC264" s="10" t="n">
        <v>2</v>
      </c>
    </row>
    <row r="265" customFormat="false" ht="15.75" hidden="true" customHeight="true" outlineLevel="0" collapsed="false">
      <c r="A265" s="6"/>
      <c r="B265" s="7" t="s">
        <v>1015</v>
      </c>
      <c r="C265" s="7" t="s">
        <v>31</v>
      </c>
      <c r="D265" s="7" t="s">
        <v>361</v>
      </c>
      <c r="E265" s="7" t="s">
        <v>1016</v>
      </c>
      <c r="F265" s="8" t="s">
        <v>1017</v>
      </c>
      <c r="G265" s="9" t="n">
        <f aca="false">DATE(2000+VALUE(MID(F265,7,2)),VALUE(MID(F265,4,2)),VALUE(LEFT(F265,2)))</f>
        <v>45480</v>
      </c>
      <c r="H265" s="8" t="s">
        <v>1018</v>
      </c>
      <c r="I265" s="9" t="n">
        <f aca="false">DATE(2000+VALUE(MID(H265,7,2)),VALUE(MID(H265,4,2)),VALUE(LEFT(H265,2)))</f>
        <v>45484</v>
      </c>
      <c r="J265" s="9"/>
      <c r="K265" s="10" t="n">
        <v>3240000</v>
      </c>
      <c r="L265" s="10" t="n">
        <v>0</v>
      </c>
      <c r="M265" s="10" t="n">
        <v>3240000</v>
      </c>
      <c r="N265" s="10" t="n">
        <v>0</v>
      </c>
      <c r="O265" s="10" t="n">
        <v>0</v>
      </c>
      <c r="P265" s="10" t="n">
        <v>0</v>
      </c>
      <c r="Q265" s="10" t="n">
        <v>3240000</v>
      </c>
      <c r="R265" s="10" t="n">
        <v>0</v>
      </c>
      <c r="S265" s="10" t="n">
        <v>0</v>
      </c>
      <c r="T265" s="7"/>
      <c r="U265" s="7"/>
      <c r="V265" s="7"/>
      <c r="W265" s="7" t="s">
        <v>43</v>
      </c>
      <c r="X265" s="7"/>
      <c r="Y265" s="7" t="s">
        <v>37</v>
      </c>
      <c r="Z265" s="7" t="s">
        <v>1019</v>
      </c>
      <c r="AA265" s="7"/>
      <c r="AB265" s="10" t="n">
        <v>810000</v>
      </c>
      <c r="AC265" s="10" t="n">
        <v>4</v>
      </c>
    </row>
    <row r="266" customFormat="false" ht="15.75" hidden="true" customHeight="true" outlineLevel="0" collapsed="false">
      <c r="A266" s="6"/>
      <c r="B266" s="7" t="s">
        <v>1020</v>
      </c>
      <c r="C266" s="7" t="s">
        <v>65</v>
      </c>
      <c r="D266" s="7" t="s">
        <v>66</v>
      </c>
      <c r="E266" s="7" t="s">
        <v>1021</v>
      </c>
      <c r="F266" s="8" t="s">
        <v>1022</v>
      </c>
      <c r="G266" s="9" t="n">
        <f aca="false">DATE(2000+VALUE(MID(F266,7,2)),VALUE(MID(F266,4,2)),VALUE(LEFT(F266,2)))</f>
        <v>45483</v>
      </c>
      <c r="H266" s="8" t="s">
        <v>1023</v>
      </c>
      <c r="I266" s="9" t="n">
        <f aca="false">DATE(2000+VALUE(MID(H266,7,2)),VALUE(MID(H266,4,2)),VALUE(LEFT(H266,2)))</f>
        <v>45484</v>
      </c>
      <c r="J266" s="9"/>
      <c r="K266" s="10" t="n">
        <v>444960</v>
      </c>
      <c r="L266" s="10" t="n">
        <v>0</v>
      </c>
      <c r="M266" s="10" t="n">
        <v>444960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444960</v>
      </c>
      <c r="S266" s="10" t="n">
        <v>0</v>
      </c>
      <c r="T266" s="7"/>
      <c r="U266" s="7"/>
      <c r="V266" s="7"/>
      <c r="W266" s="7" t="s">
        <v>49</v>
      </c>
      <c r="X266" s="7"/>
      <c r="Y266" s="7" t="s">
        <v>37</v>
      </c>
      <c r="Z266" s="7" t="s">
        <v>1024</v>
      </c>
      <c r="AA266" s="7" t="s">
        <v>1025</v>
      </c>
      <c r="AB266" s="10" t="n">
        <v>444960</v>
      </c>
      <c r="AC266" s="10" t="n">
        <v>1</v>
      </c>
    </row>
    <row r="267" customFormat="false" ht="15.75" hidden="true" customHeight="true" outlineLevel="0" collapsed="false">
      <c r="A267" s="6"/>
      <c r="B267" s="7" t="s">
        <v>1026</v>
      </c>
      <c r="C267" s="7" t="s">
        <v>60</v>
      </c>
      <c r="D267" s="7" t="s">
        <v>116</v>
      </c>
      <c r="E267" s="7" t="s">
        <v>1027</v>
      </c>
      <c r="F267" s="8" t="s">
        <v>997</v>
      </c>
      <c r="G267" s="9" t="n">
        <f aca="false">DATE(2000+VALUE(MID(F267,7,2)),VALUE(MID(F267,4,2)),VALUE(LEFT(F267,2)))</f>
        <v>45481</v>
      </c>
      <c r="H267" s="8" t="s">
        <v>1028</v>
      </c>
      <c r="I267" s="9" t="n">
        <f aca="false">DATE(2000+VALUE(MID(H267,7,2)),VALUE(MID(H267,4,2)),VALUE(LEFT(H267,2)))</f>
        <v>45484</v>
      </c>
      <c r="J267" s="9"/>
      <c r="K267" s="10" t="n">
        <v>1655000</v>
      </c>
      <c r="L267" s="10" t="n">
        <v>0</v>
      </c>
      <c r="M267" s="10" t="n">
        <v>1655000</v>
      </c>
      <c r="N267" s="10" t="n">
        <v>0</v>
      </c>
      <c r="O267" s="10" t="n">
        <v>0</v>
      </c>
      <c r="P267" s="10" t="n">
        <v>0</v>
      </c>
      <c r="Q267" s="10" t="n">
        <v>1655000</v>
      </c>
      <c r="R267" s="10" t="n">
        <v>0</v>
      </c>
      <c r="S267" s="10" t="n">
        <v>0</v>
      </c>
      <c r="T267" s="7"/>
      <c r="U267" s="7"/>
      <c r="V267" s="7"/>
      <c r="W267" s="7" t="s">
        <v>43</v>
      </c>
      <c r="X267" s="7"/>
      <c r="Y267" s="7" t="s">
        <v>37</v>
      </c>
      <c r="Z267" s="7" t="s">
        <v>1029</v>
      </c>
      <c r="AA267" s="7"/>
      <c r="AB267" s="10" t="n">
        <v>551666.6666</v>
      </c>
      <c r="AC267" s="10" t="n">
        <v>3</v>
      </c>
    </row>
    <row r="268" customFormat="false" ht="15.75" hidden="true" customHeight="true" outlineLevel="0" collapsed="false">
      <c r="A268" s="6"/>
      <c r="B268" s="7" t="s">
        <v>1026</v>
      </c>
      <c r="C268" s="7" t="s">
        <v>31</v>
      </c>
      <c r="D268" s="7" t="s">
        <v>45</v>
      </c>
      <c r="E268" s="7" t="s">
        <v>202</v>
      </c>
      <c r="F268" s="8" t="s">
        <v>997</v>
      </c>
      <c r="G268" s="9" t="n">
        <f aca="false">DATE(2000+VALUE(MID(F268,7,2)),VALUE(MID(F268,4,2)),VALUE(LEFT(F268,2)))</f>
        <v>45481</v>
      </c>
      <c r="H268" s="8" t="s">
        <v>1028</v>
      </c>
      <c r="I268" s="9" t="n">
        <f aca="false">DATE(2000+VALUE(MID(H268,7,2)),VALUE(MID(H268,4,2)),VALUE(LEFT(H268,2)))</f>
        <v>45484</v>
      </c>
      <c r="J268" s="9"/>
      <c r="K268" s="10" t="n">
        <v>2220000</v>
      </c>
      <c r="L268" s="10" t="n">
        <v>0</v>
      </c>
      <c r="M268" s="10" t="n">
        <v>2220000</v>
      </c>
      <c r="N268" s="10" t="n">
        <v>0</v>
      </c>
      <c r="O268" s="10" t="n">
        <v>155000</v>
      </c>
      <c r="P268" s="10" t="n">
        <v>0</v>
      </c>
      <c r="Q268" s="10" t="n">
        <v>2065000</v>
      </c>
      <c r="R268" s="10" t="n">
        <v>0</v>
      </c>
      <c r="S268" s="10" t="n">
        <v>0</v>
      </c>
      <c r="T268" s="7"/>
      <c r="U268" s="7"/>
      <c r="V268" s="7"/>
      <c r="W268" s="7" t="s">
        <v>43</v>
      </c>
      <c r="X268" s="7"/>
      <c r="Y268" s="7" t="s">
        <v>37</v>
      </c>
      <c r="Z268" s="7" t="s">
        <v>1030</v>
      </c>
      <c r="AA268" s="7"/>
      <c r="AB268" s="10" t="n">
        <v>740000</v>
      </c>
      <c r="AC268" s="10" t="n">
        <v>3</v>
      </c>
    </row>
    <row r="269" customFormat="false" ht="15.75" hidden="true" customHeight="true" outlineLevel="0" collapsed="false">
      <c r="A269" s="6"/>
      <c r="B269" s="7" t="s">
        <v>834</v>
      </c>
      <c r="C269" s="7" t="s">
        <v>31</v>
      </c>
      <c r="D269" s="7" t="s">
        <v>32</v>
      </c>
      <c r="E269" s="7" t="s">
        <v>1031</v>
      </c>
      <c r="F269" s="8" t="s">
        <v>1032</v>
      </c>
      <c r="G269" s="9" t="n">
        <f aca="false">DATE(2000+VALUE(MID(F269,7,2)),VALUE(MID(F269,4,2)),VALUE(LEFT(F269,2)))</f>
        <v>45483</v>
      </c>
      <c r="H269" s="8" t="s">
        <v>1033</v>
      </c>
      <c r="I269" s="9" t="n">
        <f aca="false">DATE(2000+VALUE(MID(H269,7,2)),VALUE(MID(H269,4,2)),VALUE(LEFT(H269,2)))</f>
        <v>45484</v>
      </c>
      <c r="J269" s="9"/>
      <c r="K269" s="10" t="n">
        <v>750000</v>
      </c>
      <c r="L269" s="10" t="n">
        <v>0</v>
      </c>
      <c r="M269" s="10" t="n">
        <v>750000</v>
      </c>
      <c r="N269" s="10" t="n">
        <v>0</v>
      </c>
      <c r="O269" s="10" t="n">
        <v>750000</v>
      </c>
      <c r="P269" s="10" t="n">
        <v>0</v>
      </c>
      <c r="Q269" s="10" t="n">
        <v>0</v>
      </c>
      <c r="R269" s="10" t="n">
        <v>0</v>
      </c>
      <c r="S269" s="10" t="n">
        <v>0</v>
      </c>
      <c r="T269" s="7"/>
      <c r="U269" s="7"/>
      <c r="V269" s="7"/>
      <c r="W269" s="7" t="s">
        <v>43</v>
      </c>
      <c r="X269" s="7"/>
      <c r="Y269" s="7" t="s">
        <v>37</v>
      </c>
      <c r="Z269" s="7" t="s">
        <v>1034</v>
      </c>
      <c r="AA269" s="7"/>
      <c r="AB269" s="10" t="n">
        <v>750000</v>
      </c>
      <c r="AC269" s="10" t="n">
        <v>1</v>
      </c>
    </row>
    <row r="270" customFormat="false" ht="15.75" hidden="true" customHeight="true" outlineLevel="0" collapsed="false">
      <c r="A270" s="6"/>
      <c r="B270" s="7" t="s">
        <v>1035</v>
      </c>
      <c r="C270" s="7" t="s">
        <v>65</v>
      </c>
      <c r="D270" s="7" t="s">
        <v>96</v>
      </c>
      <c r="E270" s="7" t="s">
        <v>1036</v>
      </c>
      <c r="F270" s="8" t="s">
        <v>1037</v>
      </c>
      <c r="G270" s="9" t="n">
        <f aca="false">DATE(2000+VALUE(MID(F270,7,2)),VALUE(MID(F270,4,2)),VALUE(LEFT(F270,2)))</f>
        <v>45483</v>
      </c>
      <c r="H270" s="8" t="s">
        <v>1038</v>
      </c>
      <c r="I270" s="9" t="n">
        <f aca="false">DATE(2000+VALUE(MID(H270,7,2)),VALUE(MID(H270,4,2)),VALUE(LEFT(H270,2)))</f>
        <v>45484</v>
      </c>
      <c r="J270" s="9"/>
      <c r="K270" s="10" t="n">
        <v>495000</v>
      </c>
      <c r="L270" s="10" t="n">
        <v>0</v>
      </c>
      <c r="M270" s="10" t="n">
        <v>495000</v>
      </c>
      <c r="N270" s="10" t="n">
        <v>0</v>
      </c>
      <c r="O270" s="10" t="n">
        <v>495000</v>
      </c>
      <c r="P270" s="10" t="n">
        <v>0</v>
      </c>
      <c r="Q270" s="10" t="n">
        <v>0</v>
      </c>
      <c r="R270" s="10" t="n">
        <v>0</v>
      </c>
      <c r="S270" s="10" t="n">
        <v>0</v>
      </c>
      <c r="T270" s="7"/>
      <c r="U270" s="7"/>
      <c r="V270" s="7"/>
      <c r="W270" s="7" t="s">
        <v>43</v>
      </c>
      <c r="X270" s="7"/>
      <c r="Y270" s="7" t="s">
        <v>37</v>
      </c>
      <c r="Z270" s="7" t="s">
        <v>1039</v>
      </c>
      <c r="AA270" s="7"/>
      <c r="AB270" s="10" t="n">
        <v>495000</v>
      </c>
      <c r="AC270" s="10" t="n">
        <v>1</v>
      </c>
    </row>
    <row r="271" customFormat="false" ht="15.75" hidden="true" customHeight="true" outlineLevel="0" collapsed="false">
      <c r="A271" s="6"/>
      <c r="B271" s="7" t="s">
        <v>851</v>
      </c>
      <c r="C271" s="7" t="s">
        <v>31</v>
      </c>
      <c r="D271" s="7" t="s">
        <v>32</v>
      </c>
      <c r="E271" s="7" t="s">
        <v>1040</v>
      </c>
      <c r="F271" s="8" t="s">
        <v>1041</v>
      </c>
      <c r="G271" s="9" t="n">
        <f aca="false">DATE(2000+VALUE(MID(F271,7,2)),VALUE(MID(F271,4,2)),VALUE(LEFT(F271,2)))</f>
        <v>45484</v>
      </c>
      <c r="H271" s="8" t="s">
        <v>1042</v>
      </c>
      <c r="I271" s="9" t="n">
        <f aca="false">DATE(2000+VALUE(MID(H271,7,2)),VALUE(MID(H271,4,2)),VALUE(LEFT(H271,2)))</f>
        <v>45484</v>
      </c>
      <c r="J271" s="9"/>
      <c r="K271" s="10" t="n">
        <v>350000</v>
      </c>
      <c r="L271" s="10" t="n">
        <v>0</v>
      </c>
      <c r="M271" s="10" t="n">
        <v>350000</v>
      </c>
      <c r="N271" s="10" t="n">
        <v>0</v>
      </c>
      <c r="O271" s="10" t="n">
        <v>0</v>
      </c>
      <c r="P271" s="10" t="n">
        <v>0</v>
      </c>
      <c r="Q271" s="10" t="n">
        <v>350000</v>
      </c>
      <c r="R271" s="10" t="n">
        <v>0</v>
      </c>
      <c r="S271" s="10" t="n">
        <v>0</v>
      </c>
      <c r="T271" s="7"/>
      <c r="U271" s="7"/>
      <c r="V271" s="7"/>
      <c r="W271" s="7" t="s">
        <v>43</v>
      </c>
      <c r="X271" s="7"/>
      <c r="Y271" s="7" t="s">
        <v>37</v>
      </c>
      <c r="Z271" s="7" t="s">
        <v>1043</v>
      </c>
      <c r="AA271" s="7"/>
      <c r="AB271" s="10" t="n">
        <v>350000</v>
      </c>
      <c r="AC271" s="10" t="n">
        <v>1</v>
      </c>
    </row>
    <row r="272" customFormat="false" ht="15.75" hidden="true" customHeight="true" outlineLevel="0" collapsed="false">
      <c r="A272" s="6"/>
      <c r="B272" s="7" t="s">
        <v>1044</v>
      </c>
      <c r="C272" s="7" t="s">
        <v>65</v>
      </c>
      <c r="D272" s="7" t="s">
        <v>66</v>
      </c>
      <c r="E272" s="7" t="s">
        <v>1045</v>
      </c>
      <c r="F272" s="8" t="s">
        <v>1046</v>
      </c>
      <c r="G272" s="9" t="n">
        <f aca="false">DATE(2000+VALUE(MID(F272,7,2)),VALUE(MID(F272,4,2)),VALUE(LEFT(F272,2)))</f>
        <v>45484</v>
      </c>
      <c r="H272" s="8" t="s">
        <v>1047</v>
      </c>
      <c r="I272" s="9" t="n">
        <f aca="false">DATE(2000+VALUE(MID(H272,7,2)),VALUE(MID(H272,4,2)),VALUE(LEFT(H272,2)))</f>
        <v>45485</v>
      </c>
      <c r="J272" s="9"/>
      <c r="K272" s="10" t="n">
        <v>495000</v>
      </c>
      <c r="L272" s="10" t="n">
        <v>0</v>
      </c>
      <c r="M272" s="10" t="n">
        <v>495000</v>
      </c>
      <c r="N272" s="10" t="n">
        <v>0</v>
      </c>
      <c r="O272" s="10" t="n">
        <v>0</v>
      </c>
      <c r="P272" s="10" t="n">
        <v>0</v>
      </c>
      <c r="Q272" s="10" t="n">
        <v>495000</v>
      </c>
      <c r="R272" s="10" t="n">
        <v>0</v>
      </c>
      <c r="S272" s="10" t="n">
        <v>0</v>
      </c>
      <c r="T272" s="7"/>
      <c r="U272" s="7"/>
      <c r="V272" s="7"/>
      <c r="W272" s="7" t="s">
        <v>43</v>
      </c>
      <c r="X272" s="7"/>
      <c r="Y272" s="7" t="s">
        <v>37</v>
      </c>
      <c r="Z272" s="7" t="s">
        <v>1048</v>
      </c>
      <c r="AA272" s="7"/>
      <c r="AB272" s="10" t="n">
        <v>495000</v>
      </c>
      <c r="AC272" s="10" t="n">
        <v>1</v>
      </c>
    </row>
    <row r="273" customFormat="false" ht="15.75" hidden="true" customHeight="true" outlineLevel="0" collapsed="false">
      <c r="A273" s="6"/>
      <c r="B273" s="7" t="s">
        <v>903</v>
      </c>
      <c r="C273" s="7" t="s">
        <v>31</v>
      </c>
      <c r="D273" s="7" t="s">
        <v>440</v>
      </c>
      <c r="E273" s="7" t="s">
        <v>1049</v>
      </c>
      <c r="F273" s="8" t="s">
        <v>1050</v>
      </c>
      <c r="G273" s="9" t="n">
        <f aca="false">DATE(2000+VALUE(MID(F273,7,2)),VALUE(MID(F273,4,2)),VALUE(LEFT(F273,2)))</f>
        <v>45484</v>
      </c>
      <c r="H273" s="8" t="s">
        <v>1047</v>
      </c>
      <c r="I273" s="9" t="n">
        <f aca="false">DATE(2000+VALUE(MID(H273,7,2)),VALUE(MID(H273,4,2)),VALUE(LEFT(H273,2)))</f>
        <v>45485</v>
      </c>
      <c r="J273" s="9"/>
      <c r="K273" s="10" t="n">
        <v>450000</v>
      </c>
      <c r="L273" s="10" t="n">
        <v>0</v>
      </c>
      <c r="M273" s="10" t="n">
        <v>450000</v>
      </c>
      <c r="N273" s="10" t="n">
        <v>0</v>
      </c>
      <c r="O273" s="10" t="n">
        <v>0</v>
      </c>
      <c r="P273" s="10" t="n">
        <v>0</v>
      </c>
      <c r="Q273" s="10" t="n">
        <v>450000</v>
      </c>
      <c r="R273" s="10" t="n">
        <v>0</v>
      </c>
      <c r="S273" s="10" t="n">
        <v>0</v>
      </c>
      <c r="T273" s="7"/>
      <c r="U273" s="7"/>
      <c r="V273" s="7"/>
      <c r="W273" s="7" t="s">
        <v>43</v>
      </c>
      <c r="X273" s="7"/>
      <c r="Y273" s="7" t="s">
        <v>37</v>
      </c>
      <c r="Z273" s="7" t="s">
        <v>1051</v>
      </c>
      <c r="AA273" s="7"/>
      <c r="AB273" s="10" t="n">
        <v>450000</v>
      </c>
      <c r="AC273" s="10" t="n">
        <v>1</v>
      </c>
    </row>
    <row r="274" customFormat="false" ht="15.75" hidden="true" customHeight="true" outlineLevel="0" collapsed="false">
      <c r="A274" s="6"/>
      <c r="B274" s="7" t="s">
        <v>866</v>
      </c>
      <c r="C274" s="7" t="s">
        <v>60</v>
      </c>
      <c r="D274" s="7" t="s">
        <v>164</v>
      </c>
      <c r="E274" s="7" t="s">
        <v>1052</v>
      </c>
      <c r="F274" s="8" t="s">
        <v>1053</v>
      </c>
      <c r="G274" s="9" t="n">
        <f aca="false">DATE(2000+VALUE(MID(F274,7,2)),VALUE(MID(F274,4,2)),VALUE(LEFT(F274,2)))</f>
        <v>45484</v>
      </c>
      <c r="H274" s="8" t="s">
        <v>1054</v>
      </c>
      <c r="I274" s="9" t="n">
        <f aca="false">DATE(2000+VALUE(MID(H274,7,2)),VALUE(MID(H274,4,2)),VALUE(LEFT(H274,2)))</f>
        <v>45485</v>
      </c>
      <c r="J274" s="9"/>
      <c r="K274" s="10" t="n">
        <v>470000</v>
      </c>
      <c r="L274" s="10" t="n">
        <v>0</v>
      </c>
      <c r="M274" s="10" t="n">
        <v>470000</v>
      </c>
      <c r="N274" s="10" t="n">
        <v>0</v>
      </c>
      <c r="O274" s="10" t="n">
        <v>-30000</v>
      </c>
      <c r="P274" s="10" t="n">
        <v>0</v>
      </c>
      <c r="Q274" s="10" t="n">
        <v>500000</v>
      </c>
      <c r="R274" s="10" t="n">
        <v>0</v>
      </c>
      <c r="S274" s="10" t="n">
        <v>0</v>
      </c>
      <c r="T274" s="7"/>
      <c r="U274" s="7"/>
      <c r="V274" s="7"/>
      <c r="W274" s="7" t="s">
        <v>36</v>
      </c>
      <c r="X274" s="7"/>
      <c r="Y274" s="7" t="s">
        <v>37</v>
      </c>
      <c r="Z274" s="7" t="s">
        <v>1055</v>
      </c>
      <c r="AA274" s="7"/>
      <c r="AB274" s="10" t="n">
        <v>470000</v>
      </c>
      <c r="AC274" s="10" t="n">
        <v>1</v>
      </c>
    </row>
    <row r="275" customFormat="false" ht="15.75" hidden="true" customHeight="true" outlineLevel="0" collapsed="false">
      <c r="A275" s="6"/>
      <c r="B275" s="7" t="s">
        <v>1056</v>
      </c>
      <c r="C275" s="7" t="s">
        <v>65</v>
      </c>
      <c r="D275" s="7" t="s">
        <v>76</v>
      </c>
      <c r="E275" s="7" t="s">
        <v>1057</v>
      </c>
      <c r="F275" s="8" t="s">
        <v>1058</v>
      </c>
      <c r="G275" s="9" t="n">
        <f aca="false">DATE(2000+VALUE(MID(F275,7,2)),VALUE(MID(F275,4,2)),VALUE(LEFT(F275,2)))</f>
        <v>45484</v>
      </c>
      <c r="H275" s="8" t="s">
        <v>1059</v>
      </c>
      <c r="I275" s="9" t="n">
        <f aca="false">DATE(2000+VALUE(MID(H275,7,2)),VALUE(MID(H275,4,2)),VALUE(LEFT(H275,2)))</f>
        <v>45485</v>
      </c>
      <c r="J275" s="9"/>
      <c r="K275" s="10" t="n">
        <v>636120</v>
      </c>
      <c r="L275" s="10" t="n">
        <v>0</v>
      </c>
      <c r="M275" s="10" t="n">
        <v>636120</v>
      </c>
      <c r="N275" s="10" t="n">
        <v>0</v>
      </c>
      <c r="O275" s="10" t="n">
        <v>0</v>
      </c>
      <c r="P275" s="10" t="n">
        <v>0</v>
      </c>
      <c r="Q275" s="10" t="n">
        <v>636120</v>
      </c>
      <c r="R275" s="10" t="n">
        <v>0</v>
      </c>
      <c r="S275" s="10" t="n">
        <v>0</v>
      </c>
      <c r="T275" s="7"/>
      <c r="U275" s="7"/>
      <c r="V275" s="7"/>
      <c r="W275" s="7" t="s">
        <v>49</v>
      </c>
      <c r="X275" s="7"/>
      <c r="Y275" s="7" t="s">
        <v>37</v>
      </c>
      <c r="Z275" s="7" t="s">
        <v>1060</v>
      </c>
      <c r="AA275" s="7" t="s">
        <v>1061</v>
      </c>
      <c r="AB275" s="10" t="n">
        <v>636120</v>
      </c>
      <c r="AC275" s="10" t="n">
        <v>1</v>
      </c>
    </row>
    <row r="276" customFormat="false" ht="15.75" hidden="true" customHeight="true" outlineLevel="0" collapsed="false">
      <c r="A276" s="6"/>
      <c r="B276" s="7" t="s">
        <v>1056</v>
      </c>
      <c r="C276" s="7" t="s">
        <v>60</v>
      </c>
      <c r="D276" s="7" t="s">
        <v>173</v>
      </c>
      <c r="E276" s="7" t="s">
        <v>1057</v>
      </c>
      <c r="F276" s="8" t="s">
        <v>1058</v>
      </c>
      <c r="G276" s="9" t="n">
        <f aca="false">DATE(2000+VALUE(MID(F276,7,2)),VALUE(MID(F276,4,2)),VALUE(LEFT(F276,2)))</f>
        <v>45484</v>
      </c>
      <c r="H276" s="8" t="s">
        <v>1059</v>
      </c>
      <c r="I276" s="9" t="n">
        <f aca="false">DATE(2000+VALUE(MID(H276,7,2)),VALUE(MID(H276,4,2)),VALUE(LEFT(H276,2)))</f>
        <v>45485</v>
      </c>
      <c r="J276" s="9"/>
      <c r="K276" s="10" t="n">
        <v>636120</v>
      </c>
      <c r="L276" s="10" t="n">
        <v>0</v>
      </c>
      <c r="M276" s="10" t="n">
        <v>636120</v>
      </c>
      <c r="N276" s="10" t="n">
        <v>0</v>
      </c>
      <c r="O276" s="10" t="n">
        <v>0</v>
      </c>
      <c r="P276" s="10" t="n">
        <v>0</v>
      </c>
      <c r="Q276" s="10" t="n">
        <v>636120</v>
      </c>
      <c r="R276" s="10" t="n">
        <v>0</v>
      </c>
      <c r="S276" s="10" t="n">
        <v>0</v>
      </c>
      <c r="T276" s="7"/>
      <c r="U276" s="7"/>
      <c r="V276" s="7"/>
      <c r="W276" s="7" t="s">
        <v>49</v>
      </c>
      <c r="X276" s="7"/>
      <c r="Y276" s="7" t="s">
        <v>37</v>
      </c>
      <c r="Z276" s="7" t="s">
        <v>1062</v>
      </c>
      <c r="AA276" s="7" t="s">
        <v>1061</v>
      </c>
      <c r="AB276" s="10" t="n">
        <v>636120</v>
      </c>
      <c r="AC276" s="10" t="n">
        <v>1</v>
      </c>
    </row>
    <row r="277" customFormat="false" ht="15.75" hidden="true" customHeight="true" outlineLevel="0" collapsed="false">
      <c r="A277" s="6"/>
      <c r="B277" s="7" t="s">
        <v>1056</v>
      </c>
      <c r="C277" s="7" t="s">
        <v>60</v>
      </c>
      <c r="D277" s="7" t="s">
        <v>116</v>
      </c>
      <c r="E277" s="7" t="s">
        <v>1057</v>
      </c>
      <c r="F277" s="8" t="s">
        <v>1058</v>
      </c>
      <c r="G277" s="9" t="n">
        <f aca="false">DATE(2000+VALUE(MID(F277,7,2)),VALUE(MID(F277,4,2)),VALUE(LEFT(F277,2)))</f>
        <v>45484</v>
      </c>
      <c r="H277" s="8" t="s">
        <v>1059</v>
      </c>
      <c r="I277" s="9" t="n">
        <f aca="false">DATE(2000+VALUE(MID(H277,7,2)),VALUE(MID(H277,4,2)),VALUE(LEFT(H277,2)))</f>
        <v>45485</v>
      </c>
      <c r="J277" s="9"/>
      <c r="K277" s="10" t="n">
        <v>751640</v>
      </c>
      <c r="L277" s="10" t="n">
        <v>0</v>
      </c>
      <c r="M277" s="10" t="n">
        <v>751640</v>
      </c>
      <c r="N277" s="10" t="n">
        <v>0</v>
      </c>
      <c r="O277" s="10" t="n">
        <v>0</v>
      </c>
      <c r="P277" s="10" t="n">
        <v>0</v>
      </c>
      <c r="Q277" s="10" t="n">
        <v>751640</v>
      </c>
      <c r="R277" s="10" t="n">
        <v>0</v>
      </c>
      <c r="S277" s="10" t="n">
        <v>0</v>
      </c>
      <c r="T277" s="7"/>
      <c r="U277" s="7"/>
      <c r="V277" s="7"/>
      <c r="W277" s="7" t="s">
        <v>49</v>
      </c>
      <c r="X277" s="7"/>
      <c r="Y277" s="7" t="s">
        <v>37</v>
      </c>
      <c r="Z277" s="7" t="s">
        <v>1063</v>
      </c>
      <c r="AA277" s="7" t="s">
        <v>1061</v>
      </c>
      <c r="AB277" s="10" t="n">
        <v>751640</v>
      </c>
      <c r="AC277" s="10" t="n">
        <v>1</v>
      </c>
    </row>
    <row r="278" customFormat="false" ht="15.75" hidden="true" customHeight="true" outlineLevel="0" collapsed="false">
      <c r="A278" s="6"/>
      <c r="B278" s="7" t="s">
        <v>1056</v>
      </c>
      <c r="C278" s="7" t="s">
        <v>71</v>
      </c>
      <c r="D278" s="7" t="s">
        <v>92</v>
      </c>
      <c r="E278" s="7" t="s">
        <v>1057</v>
      </c>
      <c r="F278" s="8" t="s">
        <v>1058</v>
      </c>
      <c r="G278" s="9" t="n">
        <f aca="false">DATE(2000+VALUE(MID(F278,7,2)),VALUE(MID(F278,4,2)),VALUE(LEFT(F278,2)))</f>
        <v>45484</v>
      </c>
      <c r="H278" s="8" t="s">
        <v>1059</v>
      </c>
      <c r="I278" s="9" t="n">
        <f aca="false">DATE(2000+VALUE(MID(H278,7,2)),VALUE(MID(H278,4,2)),VALUE(LEFT(H278,2)))</f>
        <v>45485</v>
      </c>
      <c r="J278" s="9"/>
      <c r="K278" s="10" t="n">
        <v>636120</v>
      </c>
      <c r="L278" s="10" t="n">
        <v>0</v>
      </c>
      <c r="M278" s="10" t="n">
        <v>636120</v>
      </c>
      <c r="N278" s="10" t="n">
        <v>0</v>
      </c>
      <c r="O278" s="10" t="n">
        <v>0</v>
      </c>
      <c r="P278" s="10" t="n">
        <v>0</v>
      </c>
      <c r="Q278" s="10" t="n">
        <v>636120</v>
      </c>
      <c r="R278" s="10" t="n">
        <v>0</v>
      </c>
      <c r="S278" s="10" t="n">
        <v>0</v>
      </c>
      <c r="T278" s="7"/>
      <c r="U278" s="7"/>
      <c r="V278" s="7"/>
      <c r="W278" s="7" t="s">
        <v>49</v>
      </c>
      <c r="X278" s="7"/>
      <c r="Y278" s="7" t="s">
        <v>37</v>
      </c>
      <c r="Z278" s="7" t="s">
        <v>1064</v>
      </c>
      <c r="AA278" s="7" t="s">
        <v>1061</v>
      </c>
      <c r="AB278" s="10" t="n">
        <v>636120</v>
      </c>
      <c r="AC278" s="10" t="n">
        <v>1</v>
      </c>
    </row>
    <row r="279" customFormat="false" ht="15.75" hidden="true" customHeight="true" outlineLevel="0" collapsed="false">
      <c r="A279" s="6"/>
      <c r="B279" s="7" t="s">
        <v>866</v>
      </c>
      <c r="C279" s="7" t="s">
        <v>31</v>
      </c>
      <c r="D279" s="7" t="s">
        <v>361</v>
      </c>
      <c r="E279" s="7" t="s">
        <v>202</v>
      </c>
      <c r="F279" s="8" t="s">
        <v>1053</v>
      </c>
      <c r="G279" s="9" t="n">
        <f aca="false">DATE(2000+VALUE(MID(F279,7,2)),VALUE(MID(F279,4,2)),VALUE(LEFT(F279,2)))</f>
        <v>45484</v>
      </c>
      <c r="H279" s="8" t="s">
        <v>1065</v>
      </c>
      <c r="I279" s="9" t="n">
        <f aca="false">DATE(2000+VALUE(MID(H279,7,2)),VALUE(MID(H279,4,2)),VALUE(LEFT(H279,2)))</f>
        <v>45485</v>
      </c>
      <c r="J279" s="9"/>
      <c r="K279" s="10" t="n">
        <v>470000</v>
      </c>
      <c r="L279" s="10" t="n">
        <v>0</v>
      </c>
      <c r="M279" s="10" t="n">
        <v>470000</v>
      </c>
      <c r="N279" s="10" t="n">
        <v>0</v>
      </c>
      <c r="O279" s="10" t="n">
        <v>470000</v>
      </c>
      <c r="P279" s="10" t="n">
        <v>0</v>
      </c>
      <c r="Q279" s="10" t="n">
        <v>0</v>
      </c>
      <c r="R279" s="10" t="n">
        <v>0</v>
      </c>
      <c r="S279" s="10" t="n">
        <v>0</v>
      </c>
      <c r="T279" s="7"/>
      <c r="U279" s="7"/>
      <c r="V279" s="7"/>
      <c r="W279" s="7" t="s">
        <v>36</v>
      </c>
      <c r="X279" s="7"/>
      <c r="Y279" s="7" t="s">
        <v>37</v>
      </c>
      <c r="Z279" s="7" t="s">
        <v>1066</v>
      </c>
      <c r="AA279" s="7"/>
      <c r="AB279" s="10" t="n">
        <v>470000</v>
      </c>
      <c r="AC279" s="10" t="n">
        <v>1</v>
      </c>
    </row>
    <row r="280" customFormat="false" ht="15.75" hidden="true" customHeight="true" outlineLevel="0" collapsed="false">
      <c r="A280" s="6"/>
      <c r="B280" s="7" t="s">
        <v>1067</v>
      </c>
      <c r="C280" s="7" t="s">
        <v>65</v>
      </c>
      <c r="D280" s="7" t="s">
        <v>156</v>
      </c>
      <c r="E280" s="7" t="s">
        <v>1068</v>
      </c>
      <c r="F280" s="8" t="s">
        <v>1069</v>
      </c>
      <c r="G280" s="9" t="n">
        <f aca="false">DATE(2000+VALUE(MID(F280,7,2)),VALUE(MID(F280,4,2)),VALUE(LEFT(F280,2)))</f>
        <v>45483</v>
      </c>
      <c r="H280" s="8" t="s">
        <v>1070</v>
      </c>
      <c r="I280" s="9" t="n">
        <f aca="false">DATE(2000+VALUE(MID(H280,7,2)),VALUE(MID(H280,4,2)),VALUE(LEFT(H280,2)))</f>
        <v>45485</v>
      </c>
      <c r="J280" s="9"/>
      <c r="K280" s="10" t="n">
        <v>990000</v>
      </c>
      <c r="L280" s="10" t="n">
        <v>15000</v>
      </c>
      <c r="M280" s="10" t="n">
        <v>1005000</v>
      </c>
      <c r="N280" s="10" t="n">
        <v>0</v>
      </c>
      <c r="O280" s="10" t="n">
        <v>510000</v>
      </c>
      <c r="P280" s="10" t="n">
        <v>0</v>
      </c>
      <c r="Q280" s="10" t="n">
        <v>495000</v>
      </c>
      <c r="R280" s="10" t="n">
        <v>0</v>
      </c>
      <c r="S280" s="10" t="n">
        <v>0</v>
      </c>
      <c r="T280" s="7"/>
      <c r="U280" s="7"/>
      <c r="V280" s="7"/>
      <c r="W280" s="7" t="s">
        <v>43</v>
      </c>
      <c r="X280" s="7"/>
      <c r="Y280" s="7" t="s">
        <v>37</v>
      </c>
      <c r="Z280" s="7" t="s">
        <v>1071</v>
      </c>
      <c r="AA280" s="7"/>
      <c r="AB280" s="10" t="n">
        <v>495000</v>
      </c>
      <c r="AC280" s="10" t="n">
        <v>2</v>
      </c>
    </row>
    <row r="281" customFormat="false" ht="15.75" hidden="true" customHeight="true" outlineLevel="0" collapsed="false">
      <c r="A281" s="6"/>
      <c r="B281" s="7" t="s">
        <v>1072</v>
      </c>
      <c r="C281" s="7" t="s">
        <v>31</v>
      </c>
      <c r="D281" s="7" t="s">
        <v>32</v>
      </c>
      <c r="E281" s="7" t="s">
        <v>1073</v>
      </c>
      <c r="F281" s="8" t="s">
        <v>1074</v>
      </c>
      <c r="G281" s="9" t="n">
        <f aca="false">DATE(2000+VALUE(MID(F281,7,2)),VALUE(MID(F281,4,2)),VALUE(LEFT(F281,2)))</f>
        <v>45485</v>
      </c>
      <c r="H281" s="8" t="s">
        <v>1075</v>
      </c>
      <c r="I281" s="9" t="n">
        <f aca="false">DATE(2000+VALUE(MID(H281,7,2)),VALUE(MID(H281,4,2)),VALUE(LEFT(H281,2)))</f>
        <v>45485</v>
      </c>
      <c r="J281" s="9"/>
      <c r="K281" s="10" t="n">
        <v>629000</v>
      </c>
      <c r="L281" s="10" t="n">
        <v>0</v>
      </c>
      <c r="M281" s="10" t="n">
        <v>629000</v>
      </c>
      <c r="N281" s="10" t="n">
        <v>0</v>
      </c>
      <c r="O281" s="10" t="n">
        <v>0</v>
      </c>
      <c r="P281" s="10" t="n">
        <v>0</v>
      </c>
      <c r="Q281" s="10" t="n">
        <v>629000</v>
      </c>
      <c r="R281" s="10" t="n">
        <v>0</v>
      </c>
      <c r="S281" s="10" t="n">
        <v>0</v>
      </c>
      <c r="T281" s="7"/>
      <c r="U281" s="7"/>
      <c r="V281" s="7"/>
      <c r="W281" s="7" t="s">
        <v>43</v>
      </c>
      <c r="X281" s="7"/>
      <c r="Y281" s="7" t="s">
        <v>37</v>
      </c>
      <c r="Z281" s="7" t="s">
        <v>1076</v>
      </c>
      <c r="AA281" s="7"/>
      <c r="AB281" s="10" t="n">
        <v>629000</v>
      </c>
      <c r="AC281" s="10" t="n">
        <v>1</v>
      </c>
    </row>
    <row r="282" customFormat="false" ht="15.75" hidden="true" customHeight="true" outlineLevel="0" collapsed="false">
      <c r="A282" s="6"/>
      <c r="B282" s="7" t="s">
        <v>650</v>
      </c>
      <c r="C282" s="7" t="s">
        <v>65</v>
      </c>
      <c r="D282" s="7" t="s">
        <v>87</v>
      </c>
      <c r="E282" s="7" t="s">
        <v>883</v>
      </c>
      <c r="F282" s="8" t="s">
        <v>1077</v>
      </c>
      <c r="G282" s="9" t="n">
        <f aca="false">DATE(2000+VALUE(MID(F282,7,2)),VALUE(MID(F282,4,2)),VALUE(LEFT(F282,2)))</f>
        <v>45478</v>
      </c>
      <c r="H282" s="8" t="s">
        <v>1078</v>
      </c>
      <c r="I282" s="9" t="n">
        <f aca="false">DATE(2000+VALUE(MID(H282,7,2)),VALUE(MID(H282,4,2)),VALUE(LEFT(H282,2)))</f>
        <v>45485</v>
      </c>
      <c r="J282" s="9"/>
      <c r="K282" s="10" t="n">
        <v>3094000</v>
      </c>
      <c r="L282" s="10" t="n">
        <v>0</v>
      </c>
      <c r="M282" s="10" t="n">
        <v>3094000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3094000</v>
      </c>
      <c r="S282" s="10" t="n">
        <v>0</v>
      </c>
      <c r="T282" s="7"/>
      <c r="U282" s="7"/>
      <c r="V282" s="7"/>
      <c r="W282" s="7" t="s">
        <v>49</v>
      </c>
      <c r="X282" s="7"/>
      <c r="Y282" s="7" t="s">
        <v>37</v>
      </c>
      <c r="Z282" s="7" t="s">
        <v>929</v>
      </c>
      <c r="AA282" s="7" t="s">
        <v>1079</v>
      </c>
      <c r="AB282" s="10" t="n">
        <v>442000</v>
      </c>
      <c r="AC282" s="10" t="n">
        <v>7</v>
      </c>
    </row>
    <row r="283" customFormat="false" ht="15.75" hidden="true" customHeight="true" outlineLevel="0" collapsed="false">
      <c r="A283" s="6"/>
      <c r="B283" s="7" t="s">
        <v>874</v>
      </c>
      <c r="C283" s="7" t="s">
        <v>60</v>
      </c>
      <c r="D283" s="7" t="s">
        <v>164</v>
      </c>
      <c r="E283" s="7" t="s">
        <v>202</v>
      </c>
      <c r="F283" s="8" t="s">
        <v>1080</v>
      </c>
      <c r="G283" s="9" t="n">
        <f aca="false">DATE(2000+VALUE(MID(F283,7,2)),VALUE(MID(F283,4,2)),VALUE(LEFT(F283,2)))</f>
        <v>45485</v>
      </c>
      <c r="H283" s="8" t="s">
        <v>1081</v>
      </c>
      <c r="I283" s="9" t="n">
        <f aca="false">DATE(2000+VALUE(MID(H283,7,2)),VALUE(MID(H283,4,2)),VALUE(LEFT(H283,2)))</f>
        <v>45485</v>
      </c>
      <c r="J283" s="9"/>
      <c r="K283" s="10" t="n">
        <v>420000</v>
      </c>
      <c r="L283" s="10" t="n">
        <v>0</v>
      </c>
      <c r="M283" s="10" t="n">
        <v>420000</v>
      </c>
      <c r="N283" s="10" t="n">
        <v>0</v>
      </c>
      <c r="O283" s="10" t="n">
        <v>0</v>
      </c>
      <c r="P283" s="10" t="n">
        <v>0</v>
      </c>
      <c r="Q283" s="10" t="n">
        <v>420000</v>
      </c>
      <c r="R283" s="10" t="n">
        <v>0</v>
      </c>
      <c r="S283" s="10" t="n">
        <v>0</v>
      </c>
      <c r="T283" s="7"/>
      <c r="U283" s="7"/>
      <c r="V283" s="7"/>
      <c r="W283" s="7" t="s">
        <v>43</v>
      </c>
      <c r="X283" s="7"/>
      <c r="Y283" s="7" t="s">
        <v>37</v>
      </c>
      <c r="Z283" s="7" t="s">
        <v>1082</v>
      </c>
      <c r="AA283" s="7"/>
      <c r="AB283" s="10" t="n">
        <v>420000</v>
      </c>
      <c r="AC283" s="10" t="n">
        <v>1</v>
      </c>
    </row>
    <row r="284" customFormat="false" ht="15.75" hidden="true" customHeight="true" outlineLevel="0" collapsed="false">
      <c r="A284" s="6"/>
      <c r="B284" s="7" t="s">
        <v>1056</v>
      </c>
      <c r="C284" s="7" t="s">
        <v>65</v>
      </c>
      <c r="D284" s="7" t="s">
        <v>96</v>
      </c>
      <c r="E284" s="7" t="s">
        <v>1083</v>
      </c>
      <c r="F284" s="8" t="s">
        <v>1058</v>
      </c>
      <c r="G284" s="9" t="n">
        <f aca="false">DATE(2000+VALUE(MID(F284,7,2)),VALUE(MID(F284,4,2)),VALUE(LEFT(F284,2)))</f>
        <v>45484</v>
      </c>
      <c r="H284" s="8" t="s">
        <v>1084</v>
      </c>
      <c r="I284" s="9" t="n">
        <f aca="false">DATE(2000+VALUE(MID(H284,7,2)),VALUE(MID(H284,4,2)),VALUE(LEFT(H284,2)))</f>
        <v>45485</v>
      </c>
      <c r="J284" s="9"/>
      <c r="K284" s="10" t="n">
        <v>1336640</v>
      </c>
      <c r="L284" s="10" t="n">
        <v>65000</v>
      </c>
      <c r="M284" s="10" t="n">
        <v>1401640</v>
      </c>
      <c r="N284" s="10" t="n">
        <v>0</v>
      </c>
      <c r="O284" s="10" t="n">
        <v>0</v>
      </c>
      <c r="P284" s="10" t="n">
        <v>0</v>
      </c>
      <c r="Q284" s="10" t="n">
        <v>1401640</v>
      </c>
      <c r="R284" s="10" t="n">
        <v>0</v>
      </c>
      <c r="S284" s="10" t="n">
        <v>0</v>
      </c>
      <c r="T284" s="7"/>
      <c r="U284" s="7"/>
      <c r="V284" s="7"/>
      <c r="W284" s="7" t="s">
        <v>49</v>
      </c>
      <c r="X284" s="7"/>
      <c r="Y284" s="7" t="s">
        <v>37</v>
      </c>
      <c r="Z284" s="7" t="s">
        <v>1085</v>
      </c>
      <c r="AA284" s="7" t="s">
        <v>1061</v>
      </c>
      <c r="AB284" s="10" t="n">
        <v>1336640</v>
      </c>
      <c r="AC284" s="10" t="n">
        <v>1</v>
      </c>
    </row>
    <row r="285" customFormat="false" ht="15.75" hidden="true" customHeight="true" outlineLevel="0" collapsed="false">
      <c r="A285" s="6"/>
      <c r="B285" s="7" t="s">
        <v>620</v>
      </c>
      <c r="C285" s="7" t="s">
        <v>31</v>
      </c>
      <c r="D285" s="7" t="s">
        <v>105</v>
      </c>
      <c r="E285" s="7" t="s">
        <v>1086</v>
      </c>
      <c r="F285" s="8" t="s">
        <v>1087</v>
      </c>
      <c r="G285" s="9" t="n">
        <f aca="false">DATE(2000+VALUE(MID(F285,7,2)),VALUE(MID(F285,4,2)),VALUE(LEFT(F285,2)))</f>
        <v>45469</v>
      </c>
      <c r="H285" s="8" t="s">
        <v>1088</v>
      </c>
      <c r="I285" s="9" t="n">
        <f aca="false">DATE(2000+VALUE(MID(H285,7,2)),VALUE(MID(H285,4,2)),VALUE(LEFT(H285,2)))</f>
        <v>45486</v>
      </c>
      <c r="J285" s="9"/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7"/>
      <c r="U285" s="7"/>
      <c r="V285" s="7"/>
      <c r="W285" s="7" t="s">
        <v>36</v>
      </c>
      <c r="X285" s="7"/>
      <c r="Y285" s="7" t="s">
        <v>37</v>
      </c>
      <c r="Z285" s="7" t="s">
        <v>1089</v>
      </c>
      <c r="AA285" s="7"/>
      <c r="AB285" s="10" t="n">
        <v>0</v>
      </c>
      <c r="AC285" s="10" t="n">
        <v>17</v>
      </c>
    </row>
    <row r="286" customFormat="false" ht="15.75" hidden="true" customHeight="true" outlineLevel="0" collapsed="false">
      <c r="A286" s="6"/>
      <c r="B286" s="7" t="s">
        <v>1090</v>
      </c>
      <c r="C286" s="7" t="s">
        <v>71</v>
      </c>
      <c r="D286" s="7" t="s">
        <v>72</v>
      </c>
      <c r="E286" s="7" t="s">
        <v>798</v>
      </c>
      <c r="F286" s="8" t="s">
        <v>1091</v>
      </c>
      <c r="G286" s="9" t="n">
        <f aca="false">DATE(2000+VALUE(MID(F286,7,2)),VALUE(MID(F286,4,2)),VALUE(LEFT(F286,2)))</f>
        <v>45482</v>
      </c>
      <c r="H286" s="8" t="s">
        <v>1088</v>
      </c>
      <c r="I286" s="9" t="n">
        <f aca="false">DATE(2000+VALUE(MID(H286,7,2)),VALUE(MID(H286,4,2)),VALUE(LEFT(H286,2)))</f>
        <v>45486</v>
      </c>
      <c r="J286" s="9"/>
      <c r="K286" s="10" t="n">
        <v>2360000</v>
      </c>
      <c r="L286" s="10" t="n">
        <v>70000</v>
      </c>
      <c r="M286" s="10" t="n">
        <v>2430000</v>
      </c>
      <c r="N286" s="10" t="n">
        <v>0</v>
      </c>
      <c r="O286" s="10" t="n">
        <v>-520000</v>
      </c>
      <c r="P286" s="10" t="n">
        <v>0</v>
      </c>
      <c r="Q286" s="10" t="n">
        <v>0</v>
      </c>
      <c r="R286" s="10" t="n">
        <v>2950000</v>
      </c>
      <c r="S286" s="10" t="n">
        <v>0</v>
      </c>
      <c r="T286" s="7"/>
      <c r="U286" s="7"/>
      <c r="V286" s="7"/>
      <c r="W286" s="7" t="s">
        <v>43</v>
      </c>
      <c r="X286" s="7"/>
      <c r="Y286" s="7" t="s">
        <v>37</v>
      </c>
      <c r="Z286" s="7" t="s">
        <v>1092</v>
      </c>
      <c r="AA286" s="7"/>
      <c r="AB286" s="10" t="n">
        <v>590000</v>
      </c>
      <c r="AC286" s="10" t="n">
        <v>4</v>
      </c>
    </row>
    <row r="287" customFormat="false" ht="15.75" hidden="true" customHeight="true" outlineLevel="0" collapsed="false">
      <c r="A287" s="6"/>
      <c r="B287" s="7" t="s">
        <v>913</v>
      </c>
      <c r="C287" s="7" t="s">
        <v>31</v>
      </c>
      <c r="D287" s="7" t="s">
        <v>45</v>
      </c>
      <c r="E287" s="7" t="s">
        <v>1093</v>
      </c>
      <c r="F287" s="8" t="s">
        <v>1094</v>
      </c>
      <c r="G287" s="9" t="n">
        <f aca="false">DATE(2000+VALUE(MID(F287,7,2)),VALUE(MID(F287,4,2)),VALUE(LEFT(F287,2)))</f>
        <v>45484</v>
      </c>
      <c r="H287" s="8" t="s">
        <v>1088</v>
      </c>
      <c r="I287" s="9" t="n">
        <f aca="false">DATE(2000+VALUE(MID(H287,7,2)),VALUE(MID(H287,4,2)),VALUE(LEFT(H287,2)))</f>
        <v>45486</v>
      </c>
      <c r="J287" s="9"/>
      <c r="K287" s="10" t="n">
        <v>1160000</v>
      </c>
      <c r="L287" s="10" t="n">
        <v>0</v>
      </c>
      <c r="M287" s="10" t="n">
        <v>1160000</v>
      </c>
      <c r="N287" s="10" t="n">
        <v>0</v>
      </c>
      <c r="O287" s="10" t="n">
        <v>0</v>
      </c>
      <c r="P287" s="10" t="n">
        <v>0</v>
      </c>
      <c r="Q287" s="10" t="n">
        <v>1160000</v>
      </c>
      <c r="R287" s="10" t="n">
        <v>0</v>
      </c>
      <c r="S287" s="10" t="n">
        <v>0</v>
      </c>
      <c r="T287" s="7"/>
      <c r="U287" s="7"/>
      <c r="V287" s="7"/>
      <c r="W287" s="7" t="s">
        <v>43</v>
      </c>
      <c r="X287" s="7"/>
      <c r="Y287" s="7" t="s">
        <v>37</v>
      </c>
      <c r="Z287" s="7" t="s">
        <v>1095</v>
      </c>
      <c r="AA287" s="7"/>
      <c r="AB287" s="10" t="n">
        <v>580000</v>
      </c>
      <c r="AC287" s="10" t="n">
        <v>2</v>
      </c>
    </row>
    <row r="288" customFormat="false" ht="15.75" hidden="true" customHeight="true" outlineLevel="0" collapsed="false">
      <c r="A288" s="6"/>
      <c r="B288" s="7" t="s">
        <v>975</v>
      </c>
      <c r="C288" s="7" t="s">
        <v>65</v>
      </c>
      <c r="D288" s="7" t="s">
        <v>96</v>
      </c>
      <c r="E288" s="7" t="s">
        <v>1096</v>
      </c>
      <c r="F288" s="8" t="s">
        <v>1097</v>
      </c>
      <c r="G288" s="9" t="n">
        <f aca="false">DATE(2000+VALUE(MID(F288,7,2)),VALUE(MID(F288,4,2)),VALUE(LEFT(F288,2)))</f>
        <v>45486</v>
      </c>
      <c r="H288" s="8" t="s">
        <v>1098</v>
      </c>
      <c r="I288" s="9" t="n">
        <f aca="false">DATE(2000+VALUE(MID(H288,7,2)),VALUE(MID(H288,4,2)),VALUE(LEFT(H288,2)))</f>
        <v>45486</v>
      </c>
      <c r="J288" s="9"/>
      <c r="K288" s="10" t="n">
        <v>350000</v>
      </c>
      <c r="L288" s="10" t="n">
        <v>0</v>
      </c>
      <c r="M288" s="10" t="n">
        <v>350000</v>
      </c>
      <c r="N288" s="10" t="n">
        <v>0</v>
      </c>
      <c r="O288" s="10" t="n">
        <v>350000</v>
      </c>
      <c r="P288" s="10" t="n">
        <v>0</v>
      </c>
      <c r="Q288" s="10" t="n">
        <v>0</v>
      </c>
      <c r="R288" s="10" t="n">
        <v>0</v>
      </c>
      <c r="S288" s="10" t="n">
        <v>0</v>
      </c>
      <c r="T288" s="7"/>
      <c r="U288" s="7"/>
      <c r="V288" s="7"/>
      <c r="W288" s="7" t="s">
        <v>43</v>
      </c>
      <c r="X288" s="7"/>
      <c r="Y288" s="7" t="s">
        <v>37</v>
      </c>
      <c r="Z288" s="7" t="s">
        <v>1099</v>
      </c>
      <c r="AA288" s="7"/>
      <c r="AB288" s="10" t="n">
        <v>350000</v>
      </c>
      <c r="AC288" s="10" t="n">
        <v>1</v>
      </c>
    </row>
    <row r="289" customFormat="false" ht="15.75" hidden="true" customHeight="true" outlineLevel="0" collapsed="false">
      <c r="A289" s="6"/>
      <c r="B289" s="7" t="s">
        <v>601</v>
      </c>
      <c r="C289" s="7" t="s">
        <v>65</v>
      </c>
      <c r="D289" s="7" t="s">
        <v>87</v>
      </c>
      <c r="E289" s="7" t="s">
        <v>1100</v>
      </c>
      <c r="F289" s="8" t="s">
        <v>1101</v>
      </c>
      <c r="G289" s="9" t="n">
        <f aca="false">DATE(2000+VALUE(MID(F289,7,2)),VALUE(MID(F289,4,2)),VALUE(LEFT(F289,2)))</f>
        <v>45485</v>
      </c>
      <c r="H289" s="8" t="s">
        <v>1102</v>
      </c>
      <c r="I289" s="9" t="n">
        <f aca="false">DATE(2000+VALUE(MID(H289,7,2)),VALUE(MID(H289,4,2)),VALUE(LEFT(H289,2)))</f>
        <v>45486</v>
      </c>
      <c r="J289" s="9"/>
      <c r="K289" s="10" t="n">
        <v>909000</v>
      </c>
      <c r="L289" s="10" t="n">
        <v>0</v>
      </c>
      <c r="M289" s="10" t="n">
        <v>909000</v>
      </c>
      <c r="N289" s="10" t="n">
        <v>0</v>
      </c>
      <c r="O289" s="10" t="n">
        <v>0</v>
      </c>
      <c r="P289" s="10" t="n">
        <v>0</v>
      </c>
      <c r="Q289" s="10" t="n">
        <v>909000</v>
      </c>
      <c r="R289" s="10" t="n">
        <v>0</v>
      </c>
      <c r="S289" s="10" t="n">
        <v>0</v>
      </c>
      <c r="T289" s="7"/>
      <c r="U289" s="7"/>
      <c r="V289" s="7"/>
      <c r="W289" s="7" t="s">
        <v>43</v>
      </c>
      <c r="X289" s="7"/>
      <c r="Y289" s="7" t="s">
        <v>37</v>
      </c>
      <c r="Z289" s="7" t="s">
        <v>831</v>
      </c>
      <c r="AA289" s="7"/>
      <c r="AB289" s="10" t="n">
        <v>909000</v>
      </c>
      <c r="AC289" s="10" t="n">
        <v>1</v>
      </c>
    </row>
    <row r="290" customFormat="false" ht="15.75" hidden="true" customHeight="true" outlineLevel="0" collapsed="false">
      <c r="A290" s="6"/>
      <c r="B290" s="7" t="s">
        <v>601</v>
      </c>
      <c r="C290" s="7" t="s">
        <v>71</v>
      </c>
      <c r="D290" s="7" t="s">
        <v>92</v>
      </c>
      <c r="E290" s="7" t="s">
        <v>1100</v>
      </c>
      <c r="F290" s="8" t="s">
        <v>1101</v>
      </c>
      <c r="G290" s="9" t="n">
        <f aca="false">DATE(2000+VALUE(MID(F290,7,2)),VALUE(MID(F290,4,2)),VALUE(LEFT(F290,2)))</f>
        <v>45485</v>
      </c>
      <c r="H290" s="8" t="s">
        <v>1102</v>
      </c>
      <c r="I290" s="9" t="n">
        <f aca="false">DATE(2000+VALUE(MID(H290,7,2)),VALUE(MID(H290,4,2)),VALUE(LEFT(H290,2)))</f>
        <v>45486</v>
      </c>
      <c r="J290" s="9"/>
      <c r="K290" s="10" t="n">
        <v>1112000</v>
      </c>
      <c r="L290" s="10" t="n">
        <v>0</v>
      </c>
      <c r="M290" s="10" t="n">
        <v>1112000</v>
      </c>
      <c r="N290" s="10" t="n">
        <v>0</v>
      </c>
      <c r="O290" s="10" t="n">
        <v>0</v>
      </c>
      <c r="P290" s="10" t="n">
        <v>0</v>
      </c>
      <c r="Q290" s="10" t="n">
        <v>1112000</v>
      </c>
      <c r="R290" s="10" t="n">
        <v>0</v>
      </c>
      <c r="S290" s="10" t="n">
        <v>0</v>
      </c>
      <c r="T290" s="7"/>
      <c r="U290" s="7"/>
      <c r="V290" s="7"/>
      <c r="W290" s="7" t="s">
        <v>43</v>
      </c>
      <c r="X290" s="7"/>
      <c r="Y290" s="7" t="s">
        <v>37</v>
      </c>
      <c r="Z290" s="7" t="s">
        <v>1103</v>
      </c>
      <c r="AA290" s="7"/>
      <c r="AB290" s="10" t="n">
        <v>1112000</v>
      </c>
      <c r="AC290" s="10" t="n">
        <v>1</v>
      </c>
    </row>
    <row r="291" customFormat="false" ht="15.75" hidden="true" customHeight="true" outlineLevel="0" collapsed="false">
      <c r="A291" s="6"/>
      <c r="B291" s="7" t="s">
        <v>601</v>
      </c>
      <c r="C291" s="7" t="s">
        <v>31</v>
      </c>
      <c r="D291" s="7" t="s">
        <v>32</v>
      </c>
      <c r="E291" s="7" t="s">
        <v>1100</v>
      </c>
      <c r="F291" s="8" t="s">
        <v>1101</v>
      </c>
      <c r="G291" s="9" t="n">
        <f aca="false">DATE(2000+VALUE(MID(F291,7,2)),VALUE(MID(F291,4,2)),VALUE(LEFT(F291,2)))</f>
        <v>45485</v>
      </c>
      <c r="H291" s="8" t="s">
        <v>1102</v>
      </c>
      <c r="I291" s="9" t="n">
        <f aca="false">DATE(2000+VALUE(MID(H291,7,2)),VALUE(MID(H291,4,2)),VALUE(LEFT(H291,2)))</f>
        <v>45486</v>
      </c>
      <c r="J291" s="9"/>
      <c r="K291" s="10" t="n">
        <v>1059000</v>
      </c>
      <c r="L291" s="10" t="n">
        <v>0</v>
      </c>
      <c r="M291" s="10" t="n">
        <v>1059000</v>
      </c>
      <c r="N291" s="10" t="n">
        <v>0</v>
      </c>
      <c r="O291" s="10" t="n">
        <v>0</v>
      </c>
      <c r="P291" s="10" t="n">
        <v>0</v>
      </c>
      <c r="Q291" s="10" t="n">
        <v>1059000</v>
      </c>
      <c r="R291" s="10" t="n">
        <v>0</v>
      </c>
      <c r="S291" s="10" t="n">
        <v>0</v>
      </c>
      <c r="T291" s="7"/>
      <c r="U291" s="7"/>
      <c r="V291" s="7"/>
      <c r="W291" s="7" t="s">
        <v>43</v>
      </c>
      <c r="X291" s="7"/>
      <c r="Y291" s="7" t="s">
        <v>37</v>
      </c>
      <c r="Z291" s="7" t="s">
        <v>875</v>
      </c>
      <c r="AA291" s="7"/>
      <c r="AB291" s="10" t="n">
        <v>1059000</v>
      </c>
      <c r="AC291" s="10" t="n">
        <v>1</v>
      </c>
    </row>
    <row r="292" customFormat="false" ht="15.75" hidden="true" customHeight="true" outlineLevel="0" collapsed="false">
      <c r="A292" s="6"/>
      <c r="B292" s="7" t="s">
        <v>1104</v>
      </c>
      <c r="C292" s="7" t="s">
        <v>65</v>
      </c>
      <c r="D292" s="7" t="s">
        <v>76</v>
      </c>
      <c r="E292" s="7" t="s">
        <v>1105</v>
      </c>
      <c r="F292" s="8" t="s">
        <v>1106</v>
      </c>
      <c r="G292" s="9" t="n">
        <f aca="false">DATE(2000+VALUE(MID(F292,7,2)),VALUE(MID(F292,4,2)),VALUE(LEFT(F292,2)))</f>
        <v>45486</v>
      </c>
      <c r="H292" s="8" t="s">
        <v>1107</v>
      </c>
      <c r="I292" s="9" t="n">
        <f aca="false">DATE(2000+VALUE(MID(H292,7,2)),VALUE(MID(H292,4,2)),VALUE(LEFT(H292,2)))</f>
        <v>45486</v>
      </c>
      <c r="J292" s="9"/>
      <c r="K292" s="10" t="n">
        <v>470000</v>
      </c>
      <c r="L292" s="10" t="n">
        <v>0</v>
      </c>
      <c r="M292" s="10" t="n">
        <v>470000</v>
      </c>
      <c r="N292" s="10" t="n">
        <v>0</v>
      </c>
      <c r="O292" s="10" t="n">
        <v>0</v>
      </c>
      <c r="P292" s="10" t="n">
        <v>0</v>
      </c>
      <c r="Q292" s="10" t="n">
        <v>470000</v>
      </c>
      <c r="R292" s="10" t="n">
        <v>0</v>
      </c>
      <c r="S292" s="10" t="n">
        <v>0</v>
      </c>
      <c r="T292" s="7"/>
      <c r="U292" s="7"/>
      <c r="V292" s="7"/>
      <c r="W292" s="7" t="s">
        <v>43</v>
      </c>
      <c r="X292" s="7"/>
      <c r="Y292" s="7" t="s">
        <v>37</v>
      </c>
      <c r="Z292" s="7" t="s">
        <v>1108</v>
      </c>
      <c r="AA292" s="7"/>
      <c r="AB292" s="10" t="n">
        <v>470000</v>
      </c>
      <c r="AC292" s="10" t="n">
        <v>1</v>
      </c>
    </row>
    <row r="293" customFormat="false" ht="15.75" hidden="true" customHeight="true" outlineLevel="0" collapsed="false">
      <c r="A293" s="6"/>
      <c r="B293" s="7" t="s">
        <v>890</v>
      </c>
      <c r="C293" s="7" t="s">
        <v>65</v>
      </c>
      <c r="D293" s="7" t="s">
        <v>87</v>
      </c>
      <c r="E293" s="7" t="s">
        <v>1109</v>
      </c>
      <c r="F293" s="8" t="s">
        <v>1110</v>
      </c>
      <c r="G293" s="9" t="n">
        <f aca="false">DATE(2000+VALUE(MID(F293,7,2)),VALUE(MID(F293,4,2)),VALUE(LEFT(F293,2)))</f>
        <v>45486</v>
      </c>
      <c r="H293" s="8" t="s">
        <v>1111</v>
      </c>
      <c r="I293" s="9" t="n">
        <f aca="false">DATE(2000+VALUE(MID(H293,7,2)),VALUE(MID(H293,4,2)),VALUE(LEFT(H293,2)))</f>
        <v>45487</v>
      </c>
      <c r="J293" s="9"/>
      <c r="K293" s="10" t="n">
        <v>565000</v>
      </c>
      <c r="L293" s="10" t="n">
        <v>0</v>
      </c>
      <c r="M293" s="10" t="n">
        <v>565000</v>
      </c>
      <c r="N293" s="10" t="n">
        <v>0</v>
      </c>
      <c r="O293" s="10" t="n">
        <v>35000</v>
      </c>
      <c r="P293" s="10" t="n">
        <v>0</v>
      </c>
      <c r="Q293" s="10" t="n">
        <v>530000</v>
      </c>
      <c r="R293" s="10" t="n">
        <v>0</v>
      </c>
      <c r="S293" s="10" t="n">
        <v>0</v>
      </c>
      <c r="T293" s="7"/>
      <c r="U293" s="7"/>
      <c r="V293" s="7"/>
      <c r="W293" s="7" t="s">
        <v>43</v>
      </c>
      <c r="X293" s="7"/>
      <c r="Y293" s="7" t="s">
        <v>37</v>
      </c>
      <c r="Z293" s="7" t="s">
        <v>1112</v>
      </c>
      <c r="AA293" s="7"/>
      <c r="AB293" s="10" t="n">
        <v>565000</v>
      </c>
      <c r="AC293" s="10" t="n">
        <v>1</v>
      </c>
    </row>
    <row r="294" customFormat="false" ht="15.75" hidden="true" customHeight="true" outlineLevel="0" collapsed="false">
      <c r="A294" s="6"/>
      <c r="B294" s="7" t="s">
        <v>1019</v>
      </c>
      <c r="C294" s="7" t="s">
        <v>60</v>
      </c>
      <c r="D294" s="7" t="s">
        <v>164</v>
      </c>
      <c r="E294" s="7" t="s">
        <v>1113</v>
      </c>
      <c r="F294" s="8" t="s">
        <v>1114</v>
      </c>
      <c r="G294" s="9" t="n">
        <f aca="false">DATE(2000+VALUE(MID(F294,7,2)),VALUE(MID(F294,4,2)),VALUE(LEFT(F294,2)))</f>
        <v>45486</v>
      </c>
      <c r="H294" s="8" t="s">
        <v>1115</v>
      </c>
      <c r="I294" s="9" t="n">
        <f aca="false">DATE(2000+VALUE(MID(H294,7,2)),VALUE(MID(H294,4,2)),VALUE(LEFT(H294,2)))</f>
        <v>45487</v>
      </c>
      <c r="J294" s="9"/>
      <c r="K294" s="10" t="n">
        <v>585000</v>
      </c>
      <c r="L294" s="10" t="n">
        <v>0</v>
      </c>
      <c r="M294" s="10" t="n">
        <v>585000</v>
      </c>
      <c r="N294" s="10" t="n">
        <v>0</v>
      </c>
      <c r="O294" s="10" t="n">
        <v>0</v>
      </c>
      <c r="P294" s="10" t="n">
        <v>0</v>
      </c>
      <c r="Q294" s="10" t="n">
        <v>585000</v>
      </c>
      <c r="R294" s="10" t="n">
        <v>0</v>
      </c>
      <c r="S294" s="10" t="n">
        <v>0</v>
      </c>
      <c r="T294" s="7"/>
      <c r="U294" s="7"/>
      <c r="V294" s="7"/>
      <c r="W294" s="7" t="s">
        <v>43</v>
      </c>
      <c r="X294" s="7"/>
      <c r="Y294" s="7" t="s">
        <v>37</v>
      </c>
      <c r="Z294" s="7" t="s">
        <v>1116</v>
      </c>
      <c r="AA294" s="7"/>
      <c r="AB294" s="10" t="n">
        <v>585000</v>
      </c>
      <c r="AC294" s="10" t="n">
        <v>1</v>
      </c>
    </row>
    <row r="295" customFormat="false" ht="15.75" hidden="true" customHeight="true" outlineLevel="0" collapsed="false">
      <c r="A295" s="6"/>
      <c r="B295" s="7" t="s">
        <v>1117</v>
      </c>
      <c r="C295" s="7" t="s">
        <v>60</v>
      </c>
      <c r="D295" s="7" t="s">
        <v>61</v>
      </c>
      <c r="E295" s="7" t="s">
        <v>1118</v>
      </c>
      <c r="F295" s="8" t="s">
        <v>1119</v>
      </c>
      <c r="G295" s="9" t="n">
        <f aca="false">DATE(2000+VALUE(MID(F295,7,2)),VALUE(MID(F295,4,2)),VALUE(LEFT(F295,2)))</f>
        <v>45484</v>
      </c>
      <c r="H295" s="8" t="s">
        <v>1120</v>
      </c>
      <c r="I295" s="9" t="n">
        <f aca="false">DATE(2000+VALUE(MID(H295,7,2)),VALUE(MID(H295,4,2)),VALUE(LEFT(H295,2)))</f>
        <v>45487</v>
      </c>
      <c r="J295" s="9"/>
      <c r="K295" s="10" t="n">
        <v>1496160</v>
      </c>
      <c r="L295" s="10" t="n">
        <v>0</v>
      </c>
      <c r="M295" s="10" t="n">
        <v>1496160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1496160</v>
      </c>
      <c r="S295" s="10" t="n">
        <v>0</v>
      </c>
      <c r="T295" s="7"/>
      <c r="U295" s="7"/>
      <c r="V295" s="7"/>
      <c r="W295" s="7" t="s">
        <v>49</v>
      </c>
      <c r="X295" s="7"/>
      <c r="Y295" s="7" t="s">
        <v>37</v>
      </c>
      <c r="Z295" s="7" t="s">
        <v>1121</v>
      </c>
      <c r="AA295" s="7" t="s">
        <v>1122</v>
      </c>
      <c r="AB295" s="10" t="n">
        <v>498720</v>
      </c>
      <c r="AC295" s="10" t="n">
        <v>3</v>
      </c>
    </row>
    <row r="296" customFormat="false" ht="15.75" hidden="true" customHeight="true" outlineLevel="0" collapsed="false">
      <c r="A296" s="6"/>
      <c r="B296" s="7" t="s">
        <v>960</v>
      </c>
      <c r="C296" s="7" t="s">
        <v>71</v>
      </c>
      <c r="D296" s="7" t="s">
        <v>92</v>
      </c>
      <c r="E296" s="7" t="s">
        <v>1123</v>
      </c>
      <c r="F296" s="8" t="s">
        <v>1124</v>
      </c>
      <c r="G296" s="9" t="n">
        <f aca="false">DATE(2000+VALUE(MID(F296,7,2)),VALUE(MID(F296,4,2)),VALUE(LEFT(F296,2)))</f>
        <v>45486</v>
      </c>
      <c r="H296" s="8" t="s">
        <v>1125</v>
      </c>
      <c r="I296" s="9" t="n">
        <f aca="false">DATE(2000+VALUE(MID(H296,7,2)),VALUE(MID(H296,4,2)),VALUE(LEFT(H296,2)))</f>
        <v>45487</v>
      </c>
      <c r="J296" s="9"/>
      <c r="K296" s="10" t="n">
        <v>644508</v>
      </c>
      <c r="L296" s="10" t="n">
        <v>0</v>
      </c>
      <c r="M296" s="10" t="n">
        <v>644508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644508</v>
      </c>
      <c r="S296" s="10" t="n">
        <v>0</v>
      </c>
      <c r="T296" s="7"/>
      <c r="U296" s="7"/>
      <c r="V296" s="7"/>
      <c r="W296" s="7" t="s">
        <v>49</v>
      </c>
      <c r="X296" s="7"/>
      <c r="Y296" s="7" t="s">
        <v>37</v>
      </c>
      <c r="Z296" s="7" t="s">
        <v>1126</v>
      </c>
      <c r="AA296" s="7" t="s">
        <v>1127</v>
      </c>
      <c r="AB296" s="10" t="n">
        <v>644508</v>
      </c>
      <c r="AC296" s="10" t="n">
        <v>1</v>
      </c>
    </row>
    <row r="297" customFormat="false" ht="15.75" hidden="true" customHeight="true" outlineLevel="0" collapsed="false">
      <c r="A297" s="6"/>
      <c r="B297" s="7" t="s">
        <v>960</v>
      </c>
      <c r="C297" s="7" t="s">
        <v>31</v>
      </c>
      <c r="D297" s="7" t="s">
        <v>45</v>
      </c>
      <c r="E297" s="7" t="s">
        <v>1128</v>
      </c>
      <c r="F297" s="8" t="s">
        <v>1124</v>
      </c>
      <c r="G297" s="9" t="n">
        <f aca="false">DATE(2000+VALUE(MID(F297,7,2)),VALUE(MID(F297,4,2)),VALUE(LEFT(F297,2)))</f>
        <v>45486</v>
      </c>
      <c r="H297" s="8" t="s">
        <v>1125</v>
      </c>
      <c r="I297" s="9" t="n">
        <f aca="false">DATE(2000+VALUE(MID(H297,7,2)),VALUE(MID(H297,4,2)),VALUE(LEFT(H297,2)))</f>
        <v>45487</v>
      </c>
      <c r="J297" s="9"/>
      <c r="K297" s="10" t="n">
        <v>801144</v>
      </c>
      <c r="L297" s="10" t="n">
        <v>0</v>
      </c>
      <c r="M297" s="10" t="n">
        <v>801144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801144</v>
      </c>
      <c r="S297" s="10" t="n">
        <v>0</v>
      </c>
      <c r="T297" s="7"/>
      <c r="U297" s="7"/>
      <c r="V297" s="7"/>
      <c r="W297" s="7" t="s">
        <v>49</v>
      </c>
      <c r="X297" s="7"/>
      <c r="Y297" s="7" t="s">
        <v>37</v>
      </c>
      <c r="Z297" s="7" t="s">
        <v>1129</v>
      </c>
      <c r="AA297" s="7" t="s">
        <v>1127</v>
      </c>
      <c r="AB297" s="10" t="n">
        <v>801144</v>
      </c>
      <c r="AC297" s="10" t="n">
        <v>1</v>
      </c>
    </row>
    <row r="298" customFormat="false" ht="15.75" hidden="true" customHeight="true" outlineLevel="0" collapsed="false">
      <c r="A298" s="6"/>
      <c r="B298" s="7" t="s">
        <v>960</v>
      </c>
      <c r="C298" s="7" t="s">
        <v>60</v>
      </c>
      <c r="D298" s="7" t="s">
        <v>116</v>
      </c>
      <c r="E298" s="7" t="s">
        <v>1123</v>
      </c>
      <c r="F298" s="8" t="s">
        <v>1124</v>
      </c>
      <c r="G298" s="9" t="n">
        <f aca="false">DATE(2000+VALUE(MID(F298,7,2)),VALUE(MID(F298,4,2)),VALUE(LEFT(F298,2)))</f>
        <v>45486</v>
      </c>
      <c r="H298" s="8" t="s">
        <v>1125</v>
      </c>
      <c r="I298" s="9" t="n">
        <f aca="false">DATE(2000+VALUE(MID(H298,7,2)),VALUE(MID(H298,4,2)),VALUE(LEFT(H298,2)))</f>
        <v>45487</v>
      </c>
      <c r="J298" s="9"/>
      <c r="K298" s="10" t="n">
        <v>644508</v>
      </c>
      <c r="L298" s="10" t="n">
        <v>0</v>
      </c>
      <c r="M298" s="10" t="n">
        <v>644508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644508</v>
      </c>
      <c r="S298" s="10" t="n">
        <v>0</v>
      </c>
      <c r="T298" s="7"/>
      <c r="U298" s="7"/>
      <c r="V298" s="7"/>
      <c r="W298" s="7" t="s">
        <v>49</v>
      </c>
      <c r="X298" s="7"/>
      <c r="Y298" s="7" t="s">
        <v>37</v>
      </c>
      <c r="Z298" s="7" t="s">
        <v>1130</v>
      </c>
      <c r="AA298" s="7" t="s">
        <v>1127</v>
      </c>
      <c r="AB298" s="10" t="n">
        <v>644508</v>
      </c>
      <c r="AC298" s="10" t="n">
        <v>1</v>
      </c>
    </row>
    <row r="299" customFormat="false" ht="15.75" hidden="true" customHeight="true" outlineLevel="0" collapsed="false">
      <c r="A299" s="6"/>
      <c r="B299" s="7" t="s">
        <v>1090</v>
      </c>
      <c r="C299" s="7" t="s">
        <v>71</v>
      </c>
      <c r="D299" s="7" t="s">
        <v>72</v>
      </c>
      <c r="E299" s="7" t="s">
        <v>202</v>
      </c>
      <c r="F299" s="8" t="s">
        <v>1131</v>
      </c>
      <c r="G299" s="9" t="n">
        <f aca="false">DATE(2000+VALUE(MID(F299,7,2)),VALUE(MID(F299,4,2)),VALUE(LEFT(F299,2)))</f>
        <v>45486</v>
      </c>
      <c r="H299" s="8" t="s">
        <v>1125</v>
      </c>
      <c r="I299" s="9" t="n">
        <f aca="false">DATE(2000+VALUE(MID(H299,7,2)),VALUE(MID(H299,4,2)),VALUE(LEFT(H299,2)))</f>
        <v>45487</v>
      </c>
      <c r="J299" s="9"/>
      <c r="K299" s="10" t="n">
        <v>590000</v>
      </c>
      <c r="L299" s="10" t="n">
        <v>0</v>
      </c>
      <c r="M299" s="10" t="n">
        <v>590000</v>
      </c>
      <c r="N299" s="10" t="n">
        <v>0</v>
      </c>
      <c r="O299" s="10" t="n">
        <v>590000</v>
      </c>
      <c r="P299" s="10" t="n">
        <v>0</v>
      </c>
      <c r="Q299" s="10" t="n">
        <v>0</v>
      </c>
      <c r="R299" s="10" t="n">
        <v>0</v>
      </c>
      <c r="S299" s="10" t="n">
        <v>0</v>
      </c>
      <c r="T299" s="7"/>
      <c r="U299" s="7"/>
      <c r="V299" s="7"/>
      <c r="W299" s="7" t="s">
        <v>43</v>
      </c>
      <c r="X299" s="7"/>
      <c r="Y299" s="7" t="s">
        <v>37</v>
      </c>
      <c r="Z299" s="7" t="s">
        <v>1132</v>
      </c>
      <c r="AA299" s="7"/>
      <c r="AB299" s="10" t="n">
        <v>590000</v>
      </c>
      <c r="AC299" s="10" t="n">
        <v>1</v>
      </c>
    </row>
    <row r="300" customFormat="false" ht="15.75" hidden="true" customHeight="true" outlineLevel="0" collapsed="false">
      <c r="A300" s="6"/>
      <c r="B300" s="7" t="s">
        <v>1133</v>
      </c>
      <c r="C300" s="7" t="s">
        <v>65</v>
      </c>
      <c r="D300" s="7" t="s">
        <v>66</v>
      </c>
      <c r="E300" s="7" t="s">
        <v>1134</v>
      </c>
      <c r="F300" s="8" t="s">
        <v>1135</v>
      </c>
      <c r="G300" s="9" t="n">
        <f aca="false">DATE(2000+VALUE(MID(F300,7,2)),VALUE(MID(F300,4,2)),VALUE(LEFT(F300,2)))</f>
        <v>45486</v>
      </c>
      <c r="H300" s="8" t="s">
        <v>1125</v>
      </c>
      <c r="I300" s="9" t="n">
        <f aca="false">DATE(2000+VALUE(MID(H300,7,2)),VALUE(MID(H300,4,2)),VALUE(LEFT(H300,2)))</f>
        <v>45487</v>
      </c>
      <c r="J300" s="9"/>
      <c r="K300" s="10" t="n">
        <v>525600</v>
      </c>
      <c r="L300" s="10" t="n">
        <v>0</v>
      </c>
      <c r="M300" s="10" t="n">
        <v>525600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n">
        <v>525600</v>
      </c>
      <c r="S300" s="10" t="n">
        <v>0</v>
      </c>
      <c r="T300" s="7"/>
      <c r="U300" s="7"/>
      <c r="V300" s="7"/>
      <c r="W300" s="7" t="s">
        <v>49</v>
      </c>
      <c r="X300" s="7"/>
      <c r="Y300" s="7" t="s">
        <v>37</v>
      </c>
      <c r="Z300" s="7" t="s">
        <v>1136</v>
      </c>
      <c r="AA300" s="7" t="s">
        <v>1137</v>
      </c>
      <c r="AB300" s="10" t="n">
        <v>525600</v>
      </c>
      <c r="AC300" s="10" t="n">
        <v>1</v>
      </c>
    </row>
    <row r="301" customFormat="false" ht="15.75" hidden="true" customHeight="true" outlineLevel="0" collapsed="false">
      <c r="A301" s="6"/>
      <c r="B301" s="7" t="s">
        <v>918</v>
      </c>
      <c r="C301" s="7" t="s">
        <v>31</v>
      </c>
      <c r="D301" s="7" t="s">
        <v>32</v>
      </c>
      <c r="E301" s="7" t="s">
        <v>1138</v>
      </c>
      <c r="F301" s="8" t="s">
        <v>1139</v>
      </c>
      <c r="G301" s="9" t="n">
        <f aca="false">DATE(2000+VALUE(MID(F301,7,2)),VALUE(MID(F301,4,2)),VALUE(LEFT(F301,2)))</f>
        <v>45486</v>
      </c>
      <c r="H301" s="8" t="s">
        <v>1125</v>
      </c>
      <c r="I301" s="9" t="n">
        <f aca="false">DATE(2000+VALUE(MID(H301,7,2)),VALUE(MID(H301,4,2)),VALUE(LEFT(H301,2)))</f>
        <v>45487</v>
      </c>
      <c r="J301" s="9"/>
      <c r="K301" s="10" t="n">
        <v>700000</v>
      </c>
      <c r="L301" s="10" t="n">
        <v>0</v>
      </c>
      <c r="M301" s="10" t="n">
        <v>700000</v>
      </c>
      <c r="N301" s="10" t="n">
        <v>0</v>
      </c>
      <c r="O301" s="10" t="n">
        <v>0</v>
      </c>
      <c r="P301" s="10" t="n">
        <v>0</v>
      </c>
      <c r="Q301" s="10" t="n">
        <v>700000</v>
      </c>
      <c r="R301" s="10" t="n">
        <v>0</v>
      </c>
      <c r="S301" s="10" t="n">
        <v>0</v>
      </c>
      <c r="T301" s="7"/>
      <c r="U301" s="7"/>
      <c r="V301" s="7"/>
      <c r="W301" s="7" t="s">
        <v>43</v>
      </c>
      <c r="X301" s="7"/>
      <c r="Y301" s="7" t="s">
        <v>37</v>
      </c>
      <c r="Z301" s="7" t="s">
        <v>1140</v>
      </c>
      <c r="AA301" s="7"/>
      <c r="AB301" s="10" t="n">
        <v>700000</v>
      </c>
      <c r="AC301" s="10" t="n">
        <v>1</v>
      </c>
    </row>
    <row r="302" customFormat="false" ht="15.75" hidden="true" customHeight="true" outlineLevel="0" collapsed="false">
      <c r="A302" s="6"/>
      <c r="B302" s="7" t="s">
        <v>984</v>
      </c>
      <c r="C302" s="7" t="s">
        <v>65</v>
      </c>
      <c r="D302" s="7" t="s">
        <v>96</v>
      </c>
      <c r="E302" s="7" t="s">
        <v>1141</v>
      </c>
      <c r="F302" s="8" t="s">
        <v>1142</v>
      </c>
      <c r="G302" s="9" t="n">
        <f aca="false">DATE(2000+VALUE(MID(F302,7,2)),VALUE(MID(F302,4,2)),VALUE(LEFT(F302,2)))</f>
        <v>45487</v>
      </c>
      <c r="H302" s="8" t="s">
        <v>1143</v>
      </c>
      <c r="I302" s="9" t="n">
        <f aca="false">DATE(2000+VALUE(MID(H302,7,2)),VALUE(MID(H302,4,2)),VALUE(LEFT(H302,2)))</f>
        <v>45487</v>
      </c>
      <c r="J302" s="9"/>
      <c r="K302" s="10" t="n">
        <v>459000</v>
      </c>
      <c r="L302" s="10" t="n">
        <v>0</v>
      </c>
      <c r="M302" s="10" t="n">
        <v>459000</v>
      </c>
      <c r="N302" s="10" t="n">
        <v>0</v>
      </c>
      <c r="O302" s="10" t="n">
        <v>459000</v>
      </c>
      <c r="P302" s="10" t="n">
        <v>0</v>
      </c>
      <c r="Q302" s="10" t="n">
        <v>0</v>
      </c>
      <c r="R302" s="10" t="n">
        <v>0</v>
      </c>
      <c r="S302" s="10" t="n">
        <v>0</v>
      </c>
      <c r="T302" s="7"/>
      <c r="U302" s="7"/>
      <c r="V302" s="7"/>
      <c r="W302" s="7" t="s">
        <v>43</v>
      </c>
      <c r="X302" s="7"/>
      <c r="Y302" s="7" t="s">
        <v>37</v>
      </c>
      <c r="Z302" s="7" t="s">
        <v>1144</v>
      </c>
      <c r="AA302" s="7"/>
      <c r="AB302" s="10" t="n">
        <v>459000</v>
      </c>
      <c r="AC302" s="10" t="n">
        <v>1</v>
      </c>
    </row>
    <row r="303" customFormat="false" ht="15.75" hidden="true" customHeight="true" outlineLevel="0" collapsed="false">
      <c r="A303" s="6"/>
      <c r="B303" s="7" t="s">
        <v>1121</v>
      </c>
      <c r="C303" s="7" t="s">
        <v>31</v>
      </c>
      <c r="D303" s="7" t="s">
        <v>45</v>
      </c>
      <c r="E303" s="7" t="s">
        <v>1145</v>
      </c>
      <c r="F303" s="8" t="s">
        <v>1146</v>
      </c>
      <c r="G303" s="9" t="n">
        <f aca="false">DATE(2000+VALUE(MID(F303,7,2)),VALUE(MID(F303,4,2)),VALUE(LEFT(F303,2)))</f>
        <v>45487</v>
      </c>
      <c r="H303" s="8" t="s">
        <v>1147</v>
      </c>
      <c r="I303" s="9" t="n">
        <f aca="false">DATE(2000+VALUE(MID(H303,7,2)),VALUE(MID(H303,4,2)),VALUE(LEFT(H303,2)))</f>
        <v>45487</v>
      </c>
      <c r="J303" s="9"/>
      <c r="K303" s="10" t="n">
        <v>459000</v>
      </c>
      <c r="L303" s="10" t="n">
        <v>0</v>
      </c>
      <c r="M303" s="10" t="n">
        <v>459000</v>
      </c>
      <c r="N303" s="10" t="n">
        <v>0</v>
      </c>
      <c r="O303" s="10" t="n">
        <v>459000</v>
      </c>
      <c r="P303" s="10" t="n">
        <v>0</v>
      </c>
      <c r="Q303" s="10" t="n">
        <v>0</v>
      </c>
      <c r="R303" s="10" t="n">
        <v>0</v>
      </c>
      <c r="S303" s="10" t="n">
        <v>0</v>
      </c>
      <c r="T303" s="7"/>
      <c r="U303" s="7"/>
      <c r="V303" s="7"/>
      <c r="W303" s="7" t="s">
        <v>43</v>
      </c>
      <c r="X303" s="7"/>
      <c r="Y303" s="7" t="s">
        <v>37</v>
      </c>
      <c r="Z303" s="7" t="s">
        <v>1148</v>
      </c>
      <c r="AA303" s="7"/>
      <c r="AB303" s="10" t="n">
        <v>459000</v>
      </c>
      <c r="AC303" s="10" t="n">
        <v>1</v>
      </c>
    </row>
    <row r="304" customFormat="false" ht="15.75" hidden="true" customHeight="true" outlineLevel="0" collapsed="false">
      <c r="A304" s="6"/>
      <c r="B304" s="7" t="s">
        <v>1001</v>
      </c>
      <c r="C304" s="7" t="s">
        <v>31</v>
      </c>
      <c r="D304" s="7" t="s">
        <v>32</v>
      </c>
      <c r="E304" s="7" t="s">
        <v>1149</v>
      </c>
      <c r="F304" s="8" t="s">
        <v>1150</v>
      </c>
      <c r="G304" s="9" t="n">
        <f aca="false">DATE(2000+VALUE(MID(F304,7,2)),VALUE(MID(F304,4,2)),VALUE(LEFT(F304,2)))</f>
        <v>45487</v>
      </c>
      <c r="H304" s="8" t="s">
        <v>1151</v>
      </c>
      <c r="I304" s="9" t="n">
        <f aca="false">DATE(2000+VALUE(MID(H304,7,2)),VALUE(MID(H304,4,2)),VALUE(LEFT(H304,2)))</f>
        <v>45487</v>
      </c>
      <c r="J304" s="9"/>
      <c r="K304" s="10" t="n">
        <v>449000</v>
      </c>
      <c r="L304" s="10" t="n">
        <v>0</v>
      </c>
      <c r="M304" s="10" t="n">
        <v>449000</v>
      </c>
      <c r="N304" s="10" t="n">
        <v>0</v>
      </c>
      <c r="O304" s="10" t="n">
        <v>449000</v>
      </c>
      <c r="P304" s="10" t="n">
        <v>0</v>
      </c>
      <c r="Q304" s="10" t="n">
        <v>0</v>
      </c>
      <c r="R304" s="10" t="n">
        <v>0</v>
      </c>
      <c r="S304" s="10" t="n">
        <v>0</v>
      </c>
      <c r="T304" s="7"/>
      <c r="U304" s="7"/>
      <c r="V304" s="7"/>
      <c r="W304" s="7" t="s">
        <v>43</v>
      </c>
      <c r="X304" s="7"/>
      <c r="Y304" s="7" t="s">
        <v>37</v>
      </c>
      <c r="Z304" s="7" t="s">
        <v>1152</v>
      </c>
      <c r="AA304" s="7"/>
      <c r="AB304" s="10" t="n">
        <v>449000</v>
      </c>
      <c r="AC304" s="10" t="n">
        <v>1</v>
      </c>
    </row>
    <row r="305" customFormat="false" ht="15.75" hidden="true" customHeight="true" outlineLevel="0" collapsed="false">
      <c r="A305" s="6"/>
      <c r="B305" s="7" t="s">
        <v>957</v>
      </c>
      <c r="C305" s="7" t="s">
        <v>65</v>
      </c>
      <c r="D305" s="7" t="s">
        <v>87</v>
      </c>
      <c r="E305" s="7" t="s">
        <v>1153</v>
      </c>
      <c r="F305" s="8" t="s">
        <v>1154</v>
      </c>
      <c r="G305" s="9" t="n">
        <f aca="false">DATE(2000+VALUE(MID(F305,7,2)),VALUE(MID(F305,4,2)),VALUE(LEFT(F305,2)))</f>
        <v>45487</v>
      </c>
      <c r="H305" s="8" t="s">
        <v>1155</v>
      </c>
      <c r="I305" s="9" t="n">
        <f aca="false">DATE(2000+VALUE(MID(H305,7,2)),VALUE(MID(H305,4,2)),VALUE(LEFT(H305,2)))</f>
        <v>45488</v>
      </c>
      <c r="J305" s="9"/>
      <c r="K305" s="10" t="n">
        <v>500000</v>
      </c>
      <c r="L305" s="10" t="n">
        <v>15000</v>
      </c>
      <c r="M305" s="10" t="n">
        <v>515000</v>
      </c>
      <c r="N305" s="10" t="n">
        <v>0</v>
      </c>
      <c r="O305" s="10" t="n">
        <v>15000</v>
      </c>
      <c r="P305" s="10" t="n">
        <v>0</v>
      </c>
      <c r="Q305" s="10" t="n">
        <v>500000</v>
      </c>
      <c r="R305" s="10" t="n">
        <v>0</v>
      </c>
      <c r="S305" s="10" t="n">
        <v>0</v>
      </c>
      <c r="T305" s="7"/>
      <c r="U305" s="7"/>
      <c r="V305" s="7"/>
      <c r="W305" s="7" t="s">
        <v>43</v>
      </c>
      <c r="X305" s="7"/>
      <c r="Y305" s="7" t="s">
        <v>37</v>
      </c>
      <c r="Z305" s="7" t="s">
        <v>1156</v>
      </c>
      <c r="AA305" s="7"/>
      <c r="AB305" s="10" t="n">
        <v>500000</v>
      </c>
      <c r="AC305" s="10" t="n">
        <v>1</v>
      </c>
    </row>
    <row r="306" customFormat="false" ht="15.75" hidden="true" customHeight="true" outlineLevel="0" collapsed="false">
      <c r="A306" s="6"/>
      <c r="B306" s="7" t="s">
        <v>61</v>
      </c>
      <c r="C306" s="7" t="s">
        <v>65</v>
      </c>
      <c r="D306" s="7" t="s">
        <v>76</v>
      </c>
      <c r="E306" s="7" t="s">
        <v>1157</v>
      </c>
      <c r="F306" s="8" t="s">
        <v>1158</v>
      </c>
      <c r="G306" s="9" t="n">
        <f aca="false">DATE(2000+VALUE(MID(F306,7,2)),VALUE(MID(F306,4,2)),VALUE(LEFT(F306,2)))</f>
        <v>45488</v>
      </c>
      <c r="H306" s="8" t="s">
        <v>1159</v>
      </c>
      <c r="I306" s="9" t="n">
        <f aca="false">DATE(2000+VALUE(MID(H306,7,2)),VALUE(MID(H306,4,2)),VALUE(LEFT(H306,2)))</f>
        <v>45488</v>
      </c>
      <c r="J306" s="9"/>
      <c r="K306" s="10" t="n">
        <v>495000</v>
      </c>
      <c r="L306" s="10" t="n">
        <v>0</v>
      </c>
      <c r="M306" s="10" t="n">
        <v>495000</v>
      </c>
      <c r="N306" s="10" t="n">
        <v>0</v>
      </c>
      <c r="O306" s="10" t="n">
        <v>495000</v>
      </c>
      <c r="P306" s="10" t="n">
        <v>0</v>
      </c>
      <c r="Q306" s="10" t="n">
        <v>0</v>
      </c>
      <c r="R306" s="10" t="n">
        <v>0</v>
      </c>
      <c r="S306" s="10" t="n">
        <v>0</v>
      </c>
      <c r="T306" s="7"/>
      <c r="U306" s="7"/>
      <c r="V306" s="7"/>
      <c r="W306" s="7" t="s">
        <v>43</v>
      </c>
      <c r="X306" s="7"/>
      <c r="Y306" s="7" t="s">
        <v>37</v>
      </c>
      <c r="Z306" s="7" t="s">
        <v>1160</v>
      </c>
      <c r="AA306" s="7"/>
      <c r="AB306" s="10" t="n">
        <v>495000</v>
      </c>
      <c r="AC306" s="10" t="n">
        <v>1</v>
      </c>
    </row>
    <row r="307" customFormat="false" ht="15.75" hidden="true" customHeight="true" outlineLevel="0" collapsed="false">
      <c r="A307" s="6"/>
      <c r="B307" s="7" t="s">
        <v>939</v>
      </c>
      <c r="C307" s="7" t="s">
        <v>65</v>
      </c>
      <c r="D307" s="7" t="s">
        <v>66</v>
      </c>
      <c r="E307" s="7" t="s">
        <v>1161</v>
      </c>
      <c r="F307" s="8" t="s">
        <v>1162</v>
      </c>
      <c r="G307" s="9" t="n">
        <f aca="false">DATE(2000+VALUE(MID(F307,7,2)),VALUE(MID(F307,4,2)),VALUE(LEFT(F307,2)))</f>
        <v>45487</v>
      </c>
      <c r="H307" s="8" t="s">
        <v>1163</v>
      </c>
      <c r="I307" s="9" t="n">
        <f aca="false">DATE(2000+VALUE(MID(H307,7,2)),VALUE(MID(H307,4,2)),VALUE(LEFT(H307,2)))</f>
        <v>45488</v>
      </c>
      <c r="J307" s="9"/>
      <c r="K307" s="10" t="n">
        <v>494000</v>
      </c>
      <c r="L307" s="10" t="n">
        <v>30000</v>
      </c>
      <c r="M307" s="10" t="n">
        <v>524000</v>
      </c>
      <c r="N307" s="10" t="n">
        <v>0</v>
      </c>
      <c r="O307" s="10" t="n">
        <v>0</v>
      </c>
      <c r="P307" s="10" t="n">
        <v>0</v>
      </c>
      <c r="Q307" s="10" t="n">
        <v>524000</v>
      </c>
      <c r="R307" s="10" t="n">
        <v>0</v>
      </c>
      <c r="S307" s="10" t="n">
        <v>0</v>
      </c>
      <c r="T307" s="7"/>
      <c r="U307" s="7"/>
      <c r="V307" s="7"/>
      <c r="W307" s="7" t="s">
        <v>43</v>
      </c>
      <c r="X307" s="7"/>
      <c r="Y307" s="7" t="s">
        <v>37</v>
      </c>
      <c r="Z307" s="7" t="s">
        <v>1164</v>
      </c>
      <c r="AA307" s="7"/>
      <c r="AB307" s="10" t="n">
        <v>494000</v>
      </c>
      <c r="AC307" s="10" t="n">
        <v>1</v>
      </c>
    </row>
    <row r="308" customFormat="false" ht="15.75" hidden="true" customHeight="true" outlineLevel="0" collapsed="false">
      <c r="A308" s="6"/>
      <c r="B308" s="7" t="s">
        <v>76</v>
      </c>
      <c r="C308" s="7" t="s">
        <v>60</v>
      </c>
      <c r="D308" s="7" t="s">
        <v>173</v>
      </c>
      <c r="E308" s="7" t="s">
        <v>330</v>
      </c>
      <c r="F308" s="8" t="s">
        <v>1165</v>
      </c>
      <c r="G308" s="9" t="n">
        <f aca="false">DATE(2000+VALUE(MID(F308,7,2)),VALUE(MID(F308,4,2)),VALUE(LEFT(F308,2)))</f>
        <v>45486</v>
      </c>
      <c r="H308" s="8" t="s">
        <v>1166</v>
      </c>
      <c r="I308" s="9" t="n">
        <f aca="false">DATE(2000+VALUE(MID(H308,7,2)),VALUE(MID(H308,4,2)),VALUE(LEFT(H308,2)))</f>
        <v>45488</v>
      </c>
      <c r="J308" s="9"/>
      <c r="K308" s="10" t="n">
        <v>1100000</v>
      </c>
      <c r="L308" s="10" t="n">
        <v>0</v>
      </c>
      <c r="M308" s="10" t="n">
        <v>1100000</v>
      </c>
      <c r="N308" s="10" t="n">
        <v>0</v>
      </c>
      <c r="O308" s="10" t="n">
        <v>1100000</v>
      </c>
      <c r="P308" s="10" t="n">
        <v>0</v>
      </c>
      <c r="Q308" s="10" t="n">
        <v>0</v>
      </c>
      <c r="R308" s="10" t="n">
        <v>0</v>
      </c>
      <c r="S308" s="10" t="n">
        <v>0</v>
      </c>
      <c r="T308" s="7"/>
      <c r="U308" s="7"/>
      <c r="V308" s="7"/>
      <c r="W308" s="7" t="s">
        <v>43</v>
      </c>
      <c r="X308" s="7"/>
      <c r="Y308" s="7" t="s">
        <v>37</v>
      </c>
      <c r="Z308" s="7" t="s">
        <v>1167</v>
      </c>
      <c r="AA308" s="7"/>
      <c r="AB308" s="10" t="n">
        <v>550000</v>
      </c>
      <c r="AC308" s="10" t="n">
        <v>2</v>
      </c>
    </row>
    <row r="309" customFormat="false" ht="15.75" hidden="true" customHeight="true" outlineLevel="0" collapsed="false">
      <c r="A309" s="6"/>
      <c r="B309" s="7" t="s">
        <v>944</v>
      </c>
      <c r="C309" s="7" t="s">
        <v>60</v>
      </c>
      <c r="D309" s="7" t="s">
        <v>61</v>
      </c>
      <c r="E309" s="7" t="s">
        <v>1168</v>
      </c>
      <c r="F309" s="8" t="s">
        <v>1169</v>
      </c>
      <c r="G309" s="9" t="n">
        <f aca="false">DATE(2000+VALUE(MID(F309,7,2)),VALUE(MID(F309,4,2)),VALUE(LEFT(F309,2)))</f>
        <v>45487</v>
      </c>
      <c r="H309" s="8" t="s">
        <v>1166</v>
      </c>
      <c r="I309" s="9" t="n">
        <f aca="false">DATE(2000+VALUE(MID(H309,7,2)),VALUE(MID(H309,4,2)),VALUE(LEFT(H309,2)))</f>
        <v>45488</v>
      </c>
      <c r="J309" s="9"/>
      <c r="K309" s="10" t="n">
        <v>444960</v>
      </c>
      <c r="L309" s="10" t="n">
        <v>0</v>
      </c>
      <c r="M309" s="10" t="n">
        <v>444960</v>
      </c>
      <c r="N309" s="10" t="n">
        <v>0</v>
      </c>
      <c r="O309" s="10" t="n">
        <v>0</v>
      </c>
      <c r="P309" s="10" t="n">
        <v>0</v>
      </c>
      <c r="Q309" s="10" t="n">
        <v>0</v>
      </c>
      <c r="R309" s="10" t="n">
        <v>444960</v>
      </c>
      <c r="S309" s="10" t="n">
        <v>0</v>
      </c>
      <c r="T309" s="7"/>
      <c r="U309" s="7"/>
      <c r="V309" s="7"/>
      <c r="W309" s="7" t="s">
        <v>49</v>
      </c>
      <c r="X309" s="7"/>
      <c r="Y309" s="7" t="s">
        <v>37</v>
      </c>
      <c r="Z309" s="7" t="s">
        <v>1170</v>
      </c>
      <c r="AA309" s="7" t="s">
        <v>1171</v>
      </c>
      <c r="AB309" s="10" t="n">
        <v>444960</v>
      </c>
      <c r="AC309" s="10" t="n">
        <v>1</v>
      </c>
    </row>
    <row r="310" customFormat="false" ht="15.75" hidden="true" customHeight="true" outlineLevel="0" collapsed="false">
      <c r="A310" s="6"/>
      <c r="B310" s="7" t="s">
        <v>1013</v>
      </c>
      <c r="C310" s="7" t="s">
        <v>65</v>
      </c>
      <c r="D310" s="7" t="s">
        <v>156</v>
      </c>
      <c r="E310" s="7" t="s">
        <v>1172</v>
      </c>
      <c r="F310" s="8" t="s">
        <v>1173</v>
      </c>
      <c r="G310" s="9" t="n">
        <f aca="false">DATE(2000+VALUE(MID(F310,7,2)),VALUE(MID(F310,4,2)),VALUE(LEFT(F310,2)))</f>
        <v>45487</v>
      </c>
      <c r="H310" s="8" t="s">
        <v>1174</v>
      </c>
      <c r="I310" s="9" t="n">
        <f aca="false">DATE(2000+VALUE(MID(H310,7,2)),VALUE(MID(H310,4,2)),VALUE(LEFT(H310,2)))</f>
        <v>45488</v>
      </c>
      <c r="J310" s="9"/>
      <c r="K310" s="10" t="n">
        <v>495000</v>
      </c>
      <c r="L310" s="10" t="n">
        <v>0</v>
      </c>
      <c r="M310" s="10" t="n">
        <v>495000</v>
      </c>
      <c r="N310" s="10" t="n">
        <v>0</v>
      </c>
      <c r="O310" s="10" t="n">
        <v>495000</v>
      </c>
      <c r="P310" s="10" t="n">
        <v>0</v>
      </c>
      <c r="Q310" s="10" t="n">
        <v>0</v>
      </c>
      <c r="R310" s="10" t="n">
        <v>0</v>
      </c>
      <c r="S310" s="10" t="n">
        <v>0</v>
      </c>
      <c r="T310" s="7"/>
      <c r="U310" s="7"/>
      <c r="V310" s="7"/>
      <c r="W310" s="7" t="s">
        <v>43</v>
      </c>
      <c r="X310" s="7"/>
      <c r="Y310" s="7" t="s">
        <v>37</v>
      </c>
      <c r="Z310" s="7" t="s">
        <v>1175</v>
      </c>
      <c r="AA310" s="7"/>
      <c r="AB310" s="10" t="n">
        <v>495000</v>
      </c>
      <c r="AC310" s="10" t="n">
        <v>1</v>
      </c>
    </row>
    <row r="311" customFormat="false" ht="15.75" hidden="true" customHeight="true" outlineLevel="0" collapsed="false">
      <c r="A311" s="6"/>
      <c r="B311" s="7" t="s">
        <v>1030</v>
      </c>
      <c r="C311" s="7" t="s">
        <v>65</v>
      </c>
      <c r="D311" s="7" t="s">
        <v>96</v>
      </c>
      <c r="E311" s="7" t="s">
        <v>202</v>
      </c>
      <c r="F311" s="8" t="s">
        <v>1176</v>
      </c>
      <c r="G311" s="9" t="n">
        <f aca="false">DATE(2000+VALUE(MID(F311,7,2)),VALUE(MID(F311,4,2)),VALUE(LEFT(F311,2)))</f>
        <v>45488</v>
      </c>
      <c r="H311" s="8" t="s">
        <v>1177</v>
      </c>
      <c r="I311" s="9" t="n">
        <f aca="false">DATE(2000+VALUE(MID(H311,7,2)),VALUE(MID(H311,4,2)),VALUE(LEFT(H311,2)))</f>
        <v>45488</v>
      </c>
      <c r="J311" s="9"/>
      <c r="K311" s="10" t="n">
        <v>349000</v>
      </c>
      <c r="L311" s="10" t="n">
        <v>0</v>
      </c>
      <c r="M311" s="10" t="n">
        <v>349000</v>
      </c>
      <c r="N311" s="10" t="n">
        <v>0</v>
      </c>
      <c r="O311" s="10" t="n">
        <v>349000</v>
      </c>
      <c r="P311" s="10" t="n">
        <v>0</v>
      </c>
      <c r="Q311" s="10" t="n">
        <v>0</v>
      </c>
      <c r="R311" s="10" t="n">
        <v>0</v>
      </c>
      <c r="S311" s="10" t="n">
        <v>0</v>
      </c>
      <c r="T311" s="7"/>
      <c r="U311" s="7"/>
      <c r="V311" s="7"/>
      <c r="W311" s="7" t="s">
        <v>43</v>
      </c>
      <c r="X311" s="7"/>
      <c r="Y311" s="7" t="s">
        <v>37</v>
      </c>
      <c r="Z311" s="7" t="s">
        <v>1178</v>
      </c>
      <c r="AA311" s="7"/>
      <c r="AB311" s="10" t="n">
        <v>349000</v>
      </c>
      <c r="AC311" s="10" t="n">
        <v>1</v>
      </c>
    </row>
    <row r="312" customFormat="false" ht="15.75" hidden="true" customHeight="true" outlineLevel="0" collapsed="false">
      <c r="A312" s="6"/>
      <c r="B312" s="7" t="s">
        <v>1179</v>
      </c>
      <c r="C312" s="7" t="s">
        <v>31</v>
      </c>
      <c r="D312" s="7" t="s">
        <v>361</v>
      </c>
      <c r="E312" s="7" t="s">
        <v>852</v>
      </c>
      <c r="F312" s="8" t="s">
        <v>1180</v>
      </c>
      <c r="G312" s="9" t="n">
        <f aca="false">DATE(2000+VALUE(MID(F312,7,2)),VALUE(MID(F312,4,2)),VALUE(LEFT(F312,2)))</f>
        <v>45485</v>
      </c>
      <c r="H312" s="8" t="s">
        <v>1181</v>
      </c>
      <c r="I312" s="9" t="n">
        <f aca="false">DATE(2000+VALUE(MID(H312,7,2)),VALUE(MID(H312,4,2)),VALUE(LEFT(H312,2)))</f>
        <v>45489</v>
      </c>
      <c r="J312" s="9"/>
      <c r="K312" s="10" t="n">
        <v>3368000</v>
      </c>
      <c r="L312" s="10" t="n">
        <v>100000</v>
      </c>
      <c r="M312" s="10" t="n">
        <v>3468000</v>
      </c>
      <c r="N312" s="10" t="n">
        <v>0</v>
      </c>
      <c r="O312" s="10" t="n">
        <v>100000</v>
      </c>
      <c r="P312" s="10" t="n">
        <v>0</v>
      </c>
      <c r="Q312" s="10" t="n">
        <v>3368000</v>
      </c>
      <c r="R312" s="10" t="n">
        <v>0</v>
      </c>
      <c r="S312" s="10" t="n">
        <v>0</v>
      </c>
      <c r="T312" s="7"/>
      <c r="U312" s="7"/>
      <c r="V312" s="7"/>
      <c r="W312" s="7" t="s">
        <v>43</v>
      </c>
      <c r="X312" s="7"/>
      <c r="Y312" s="7" t="s">
        <v>37</v>
      </c>
      <c r="Z312" s="7" t="s">
        <v>1182</v>
      </c>
      <c r="AA312" s="7"/>
      <c r="AB312" s="10" t="n">
        <v>842000</v>
      </c>
      <c r="AC312" s="10" t="n">
        <v>4</v>
      </c>
    </row>
    <row r="313" customFormat="false" ht="15.75" hidden="true" customHeight="true" outlineLevel="0" collapsed="false">
      <c r="A313" s="6"/>
      <c r="B313" s="7" t="s">
        <v>39</v>
      </c>
      <c r="C313" s="7" t="s">
        <v>65</v>
      </c>
      <c r="D313" s="7" t="s">
        <v>87</v>
      </c>
      <c r="E313" s="7" t="s">
        <v>1183</v>
      </c>
      <c r="F313" s="8" t="s">
        <v>1184</v>
      </c>
      <c r="G313" s="9" t="n">
        <f aca="false">DATE(2000+VALUE(MID(F313,7,2)),VALUE(MID(F313,4,2)),VALUE(LEFT(F313,2)))</f>
        <v>45488</v>
      </c>
      <c r="H313" s="8" t="s">
        <v>1185</v>
      </c>
      <c r="I313" s="9" t="n">
        <f aca="false">DATE(2000+VALUE(MID(H313,7,2)),VALUE(MID(H313,4,2)),VALUE(LEFT(H313,2)))</f>
        <v>45489</v>
      </c>
      <c r="J313" s="9"/>
      <c r="K313" s="10" t="n">
        <v>444960</v>
      </c>
      <c r="L313" s="10" t="n">
        <v>0</v>
      </c>
      <c r="M313" s="10" t="n">
        <v>444960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444960</v>
      </c>
      <c r="S313" s="10" t="n">
        <v>0</v>
      </c>
      <c r="T313" s="7"/>
      <c r="U313" s="7"/>
      <c r="V313" s="7"/>
      <c r="W313" s="7" t="s">
        <v>49</v>
      </c>
      <c r="X313" s="7"/>
      <c r="Y313" s="7" t="s">
        <v>37</v>
      </c>
      <c r="Z313" s="7" t="s">
        <v>1186</v>
      </c>
      <c r="AA313" s="7" t="s">
        <v>1187</v>
      </c>
      <c r="AB313" s="10" t="n">
        <v>444960</v>
      </c>
      <c r="AC313" s="10" t="n">
        <v>1</v>
      </c>
    </row>
    <row r="314" customFormat="false" ht="15.75" hidden="true" customHeight="true" outlineLevel="0" collapsed="false">
      <c r="A314" s="6"/>
      <c r="B314" s="7" t="s">
        <v>964</v>
      </c>
      <c r="C314" s="7" t="s">
        <v>31</v>
      </c>
      <c r="D314" s="7" t="s">
        <v>45</v>
      </c>
      <c r="E314" s="7" t="s">
        <v>1188</v>
      </c>
      <c r="F314" s="8" t="s">
        <v>1189</v>
      </c>
      <c r="G314" s="9" t="n">
        <f aca="false">DATE(2000+VALUE(MID(F314,7,2)),VALUE(MID(F314,4,2)),VALUE(LEFT(F314,2)))</f>
        <v>45488</v>
      </c>
      <c r="H314" s="8" t="s">
        <v>1190</v>
      </c>
      <c r="I314" s="9" t="n">
        <f aca="false">DATE(2000+VALUE(MID(H314,7,2)),VALUE(MID(H314,4,2)),VALUE(LEFT(H314,2)))</f>
        <v>45489</v>
      </c>
      <c r="J314" s="9"/>
      <c r="K314" s="10" t="n">
        <v>800000</v>
      </c>
      <c r="L314" s="10" t="n">
        <v>0</v>
      </c>
      <c r="M314" s="10" t="n">
        <v>800000</v>
      </c>
      <c r="N314" s="10" t="n">
        <v>0</v>
      </c>
      <c r="O314" s="10" t="n">
        <v>800000</v>
      </c>
      <c r="P314" s="10" t="n">
        <v>0</v>
      </c>
      <c r="Q314" s="10" t="n">
        <v>0</v>
      </c>
      <c r="R314" s="10" t="n">
        <v>0</v>
      </c>
      <c r="S314" s="10" t="n">
        <v>0</v>
      </c>
      <c r="T314" s="7"/>
      <c r="U314" s="7"/>
      <c r="V314" s="7"/>
      <c r="W314" s="7" t="s">
        <v>43</v>
      </c>
      <c r="X314" s="7"/>
      <c r="Y314" s="7" t="s">
        <v>37</v>
      </c>
      <c r="Z314" s="7" t="s">
        <v>1191</v>
      </c>
      <c r="AA314" s="7"/>
      <c r="AB314" s="10" t="n">
        <v>800000</v>
      </c>
      <c r="AC314" s="10" t="n">
        <v>1</v>
      </c>
    </row>
    <row r="315" customFormat="false" ht="15.75" hidden="true" customHeight="true" outlineLevel="0" collapsed="false">
      <c r="A315" s="6"/>
      <c r="B315" s="7" t="s">
        <v>995</v>
      </c>
      <c r="C315" s="7" t="s">
        <v>65</v>
      </c>
      <c r="D315" s="7" t="s">
        <v>76</v>
      </c>
      <c r="E315" s="7" t="s">
        <v>1192</v>
      </c>
      <c r="F315" s="8" t="s">
        <v>1193</v>
      </c>
      <c r="G315" s="9" t="n">
        <f aca="false">DATE(2000+VALUE(MID(F315,7,2)),VALUE(MID(F315,4,2)),VALUE(LEFT(F315,2)))</f>
        <v>45488</v>
      </c>
      <c r="H315" s="8" t="s">
        <v>1190</v>
      </c>
      <c r="I315" s="9" t="n">
        <f aca="false">DATE(2000+VALUE(MID(H315,7,2)),VALUE(MID(H315,4,2)),VALUE(LEFT(H315,2)))</f>
        <v>45489</v>
      </c>
      <c r="J315" s="9"/>
      <c r="K315" s="10" t="n">
        <v>495000</v>
      </c>
      <c r="L315" s="10" t="n">
        <v>0</v>
      </c>
      <c r="M315" s="10" t="n">
        <v>495000</v>
      </c>
      <c r="N315" s="10" t="n">
        <v>0</v>
      </c>
      <c r="O315" s="10" t="n">
        <v>495000</v>
      </c>
      <c r="P315" s="10" t="n">
        <v>0</v>
      </c>
      <c r="Q315" s="10" t="n">
        <v>0</v>
      </c>
      <c r="R315" s="10" t="n">
        <v>0</v>
      </c>
      <c r="S315" s="10" t="n">
        <v>0</v>
      </c>
      <c r="T315" s="7"/>
      <c r="U315" s="7"/>
      <c r="V315" s="7"/>
      <c r="W315" s="7" t="s">
        <v>43</v>
      </c>
      <c r="X315" s="7"/>
      <c r="Y315" s="7" t="s">
        <v>37</v>
      </c>
      <c r="Z315" s="7" t="s">
        <v>1194</v>
      </c>
      <c r="AA315" s="7"/>
      <c r="AB315" s="10" t="n">
        <v>495000</v>
      </c>
      <c r="AC315" s="10" t="n">
        <v>1</v>
      </c>
    </row>
    <row r="316" customFormat="false" ht="15.75" hidden="true" customHeight="true" outlineLevel="0" collapsed="false">
      <c r="A316" s="6"/>
      <c r="B316" s="7" t="s">
        <v>928</v>
      </c>
      <c r="C316" s="7" t="s">
        <v>31</v>
      </c>
      <c r="D316" s="7" t="s">
        <v>105</v>
      </c>
      <c r="E316" s="7" t="s">
        <v>1195</v>
      </c>
      <c r="F316" s="8" t="s">
        <v>1196</v>
      </c>
      <c r="G316" s="9" t="n">
        <f aca="false">DATE(2000+VALUE(MID(F316,7,2)),VALUE(MID(F316,4,2)),VALUE(LEFT(F316,2)))</f>
        <v>45486</v>
      </c>
      <c r="H316" s="8" t="s">
        <v>1197</v>
      </c>
      <c r="I316" s="9" t="n">
        <f aca="false">DATE(2000+VALUE(MID(H316,7,2)),VALUE(MID(H316,4,2)),VALUE(LEFT(H316,2)))</f>
        <v>45489</v>
      </c>
      <c r="J316" s="9"/>
      <c r="K316" s="10" t="n">
        <v>1655280</v>
      </c>
      <c r="L316" s="10" t="n">
        <v>15000</v>
      </c>
      <c r="M316" s="10" t="n">
        <v>1670280</v>
      </c>
      <c r="N316" s="10" t="n">
        <v>0</v>
      </c>
      <c r="O316" s="10" t="n">
        <v>0</v>
      </c>
      <c r="P316" s="10" t="n">
        <v>0</v>
      </c>
      <c r="Q316" s="10" t="n">
        <v>15000</v>
      </c>
      <c r="R316" s="10" t="n">
        <v>1655280</v>
      </c>
      <c r="S316" s="10" t="n">
        <v>0</v>
      </c>
      <c r="T316" s="7"/>
      <c r="U316" s="7"/>
      <c r="V316" s="7"/>
      <c r="W316" s="7" t="s">
        <v>49</v>
      </c>
      <c r="X316" s="7"/>
      <c r="Y316" s="7" t="s">
        <v>37</v>
      </c>
      <c r="Z316" s="7" t="s">
        <v>1198</v>
      </c>
      <c r="AA316" s="7" t="s">
        <v>1199</v>
      </c>
      <c r="AB316" s="10" t="n">
        <v>551760</v>
      </c>
      <c r="AC316" s="10" t="n">
        <v>3</v>
      </c>
    </row>
    <row r="317" customFormat="false" ht="15.75" hidden="true" customHeight="true" outlineLevel="0" collapsed="false">
      <c r="A317" s="6"/>
      <c r="B317" s="7" t="s">
        <v>1200</v>
      </c>
      <c r="C317" s="7" t="s">
        <v>31</v>
      </c>
      <c r="D317" s="7" t="s">
        <v>361</v>
      </c>
      <c r="E317" s="7" t="s">
        <v>202</v>
      </c>
      <c r="F317" s="8" t="s">
        <v>1201</v>
      </c>
      <c r="G317" s="9" t="n">
        <f aca="false">DATE(2000+VALUE(MID(F317,7,2)),VALUE(MID(F317,4,2)),VALUE(LEFT(F317,2)))</f>
        <v>45489</v>
      </c>
      <c r="H317" s="8" t="s">
        <v>1202</v>
      </c>
      <c r="I317" s="9" t="n">
        <f aca="false">DATE(2000+VALUE(MID(H317,7,2)),VALUE(MID(H317,4,2)),VALUE(LEFT(H317,2)))</f>
        <v>45489</v>
      </c>
      <c r="J317" s="9"/>
      <c r="K317" s="10" t="n">
        <v>400000</v>
      </c>
      <c r="L317" s="10" t="n">
        <v>0</v>
      </c>
      <c r="M317" s="10" t="n">
        <v>400000</v>
      </c>
      <c r="N317" s="10" t="n">
        <v>0</v>
      </c>
      <c r="O317" s="10" t="n">
        <v>400000</v>
      </c>
      <c r="P317" s="10" t="n">
        <v>0</v>
      </c>
      <c r="Q317" s="10" t="n">
        <v>0</v>
      </c>
      <c r="R317" s="10" t="n">
        <v>0</v>
      </c>
      <c r="S317" s="10" t="n">
        <v>0</v>
      </c>
      <c r="T317" s="7"/>
      <c r="U317" s="7"/>
      <c r="V317" s="7"/>
      <c r="W317" s="7" t="s">
        <v>43</v>
      </c>
      <c r="X317" s="7"/>
      <c r="Y317" s="7" t="s">
        <v>37</v>
      </c>
      <c r="Z317" s="7" t="s">
        <v>1203</v>
      </c>
      <c r="AA317" s="7"/>
      <c r="AB317" s="10" t="n">
        <v>400000</v>
      </c>
      <c r="AC317" s="10" t="n">
        <v>1</v>
      </c>
    </row>
    <row r="318" customFormat="false" ht="15.75" hidden="true" customHeight="true" outlineLevel="0" collapsed="false">
      <c r="A318" s="6"/>
      <c r="B318" s="7" t="s">
        <v>999</v>
      </c>
      <c r="C318" s="7" t="s">
        <v>65</v>
      </c>
      <c r="D318" s="7" t="s">
        <v>66</v>
      </c>
      <c r="E318" s="7" t="s">
        <v>1204</v>
      </c>
      <c r="F318" s="8" t="s">
        <v>1193</v>
      </c>
      <c r="G318" s="9" t="n">
        <f aca="false">DATE(2000+VALUE(MID(F318,7,2)),VALUE(MID(F318,4,2)),VALUE(LEFT(F318,2)))</f>
        <v>45488</v>
      </c>
      <c r="H318" s="8" t="s">
        <v>1205</v>
      </c>
      <c r="I318" s="9" t="n">
        <f aca="false">DATE(2000+VALUE(MID(H318,7,2)),VALUE(MID(H318,4,2)),VALUE(LEFT(H318,2)))</f>
        <v>45490</v>
      </c>
      <c r="J318" s="9"/>
      <c r="K318" s="10" t="n">
        <v>1044000</v>
      </c>
      <c r="L318" s="10" t="n">
        <v>0</v>
      </c>
      <c r="M318" s="10" t="n">
        <v>989100</v>
      </c>
      <c r="N318" s="10" t="n">
        <v>0</v>
      </c>
      <c r="O318" s="10" t="n">
        <v>0</v>
      </c>
      <c r="P318" s="10" t="n">
        <v>0</v>
      </c>
      <c r="Q318" s="10" t="n">
        <v>989100</v>
      </c>
      <c r="R318" s="10" t="n">
        <v>0</v>
      </c>
      <c r="S318" s="10" t="n">
        <v>0</v>
      </c>
      <c r="T318" s="7"/>
      <c r="U318" s="7"/>
      <c r="V318" s="7"/>
      <c r="W318" s="7" t="s">
        <v>49</v>
      </c>
      <c r="X318" s="7"/>
      <c r="Y318" s="7" t="s">
        <v>37</v>
      </c>
      <c r="Z318" s="7" t="s">
        <v>1206</v>
      </c>
      <c r="AA318" s="7" t="s">
        <v>1207</v>
      </c>
      <c r="AB318" s="10" t="n">
        <v>522000</v>
      </c>
      <c r="AC318" s="10" t="n">
        <v>2</v>
      </c>
    </row>
    <row r="319" customFormat="false" ht="15.75" hidden="true" customHeight="true" outlineLevel="0" collapsed="false">
      <c r="A319" s="6"/>
      <c r="B319" s="7" t="s">
        <v>1208</v>
      </c>
      <c r="C319" s="7" t="s">
        <v>60</v>
      </c>
      <c r="D319" s="7" t="s">
        <v>173</v>
      </c>
      <c r="E319" s="7" t="s">
        <v>1209</v>
      </c>
      <c r="F319" s="8" t="s">
        <v>1210</v>
      </c>
      <c r="G319" s="9" t="n">
        <f aca="false">DATE(2000+VALUE(MID(F319,7,2)),VALUE(MID(F319,4,2)),VALUE(LEFT(F319,2)))</f>
        <v>45489</v>
      </c>
      <c r="H319" s="8" t="s">
        <v>1211</v>
      </c>
      <c r="I319" s="9" t="n">
        <f aca="false">DATE(2000+VALUE(MID(H319,7,2)),VALUE(MID(H319,4,2)),VALUE(LEFT(H319,2)))</f>
        <v>45490</v>
      </c>
      <c r="J319" s="9"/>
      <c r="K319" s="10" t="n">
        <v>495000</v>
      </c>
      <c r="L319" s="10" t="n">
        <v>0</v>
      </c>
      <c r="M319" s="10" t="n">
        <v>495000</v>
      </c>
      <c r="N319" s="10" t="n">
        <v>0</v>
      </c>
      <c r="O319" s="10" t="n">
        <v>495000</v>
      </c>
      <c r="P319" s="10" t="n">
        <v>0</v>
      </c>
      <c r="Q319" s="10" t="n">
        <v>0</v>
      </c>
      <c r="R319" s="10" t="n">
        <v>0</v>
      </c>
      <c r="S319" s="10" t="n">
        <v>0</v>
      </c>
      <c r="T319" s="7"/>
      <c r="U319" s="7"/>
      <c r="V319" s="7"/>
      <c r="W319" s="7" t="s">
        <v>43</v>
      </c>
      <c r="X319" s="7"/>
      <c r="Y319" s="7" t="s">
        <v>37</v>
      </c>
      <c r="Z319" s="7" t="s">
        <v>1212</v>
      </c>
      <c r="AA319" s="7"/>
      <c r="AB319" s="10" t="n">
        <v>495000</v>
      </c>
      <c r="AC319" s="10" t="n">
        <v>1</v>
      </c>
    </row>
    <row r="320" customFormat="false" ht="15.75" hidden="true" customHeight="true" outlineLevel="0" collapsed="false">
      <c r="A320" s="6"/>
      <c r="B320" s="7" t="s">
        <v>766</v>
      </c>
      <c r="C320" s="7" t="s">
        <v>31</v>
      </c>
      <c r="D320" s="7" t="s">
        <v>105</v>
      </c>
      <c r="E320" s="7" t="s">
        <v>202</v>
      </c>
      <c r="F320" s="8" t="s">
        <v>1213</v>
      </c>
      <c r="G320" s="9" t="n">
        <f aca="false">DATE(2000+VALUE(MID(F320,7,2)),VALUE(MID(F320,4,2)),VALUE(LEFT(F320,2)))</f>
        <v>45489</v>
      </c>
      <c r="H320" s="8" t="s">
        <v>1214</v>
      </c>
      <c r="I320" s="9" t="n">
        <f aca="false">DATE(2000+VALUE(MID(H320,7,2)),VALUE(MID(H320,4,2)),VALUE(LEFT(H320,2)))</f>
        <v>45490</v>
      </c>
      <c r="J320" s="9"/>
      <c r="K320" s="10" t="n">
        <v>800000</v>
      </c>
      <c r="L320" s="10" t="n">
        <v>0</v>
      </c>
      <c r="M320" s="10" t="n">
        <v>800000</v>
      </c>
      <c r="N320" s="10" t="n">
        <v>0</v>
      </c>
      <c r="O320" s="10" t="n">
        <v>0</v>
      </c>
      <c r="P320" s="10" t="n">
        <v>0</v>
      </c>
      <c r="Q320" s="10" t="n">
        <v>800000</v>
      </c>
      <c r="R320" s="10" t="n">
        <v>0</v>
      </c>
      <c r="S320" s="10" t="n">
        <v>0</v>
      </c>
      <c r="T320" s="7"/>
      <c r="U320" s="7"/>
      <c r="V320" s="7"/>
      <c r="W320" s="7" t="s">
        <v>43</v>
      </c>
      <c r="X320" s="7"/>
      <c r="Y320" s="7" t="s">
        <v>37</v>
      </c>
      <c r="Z320" s="7" t="s">
        <v>1072</v>
      </c>
      <c r="AA320" s="7"/>
      <c r="AB320" s="10" t="n">
        <v>800000</v>
      </c>
      <c r="AC320" s="10" t="n">
        <v>1</v>
      </c>
    </row>
    <row r="321" customFormat="false" ht="15.75" hidden="true" customHeight="true" outlineLevel="0" collapsed="false">
      <c r="A321" s="6"/>
      <c r="B321" s="7" t="s">
        <v>766</v>
      </c>
      <c r="C321" s="7" t="s">
        <v>31</v>
      </c>
      <c r="D321" s="7" t="s">
        <v>32</v>
      </c>
      <c r="E321" s="7" t="s">
        <v>1215</v>
      </c>
      <c r="F321" s="8" t="s">
        <v>1213</v>
      </c>
      <c r="G321" s="9" t="n">
        <f aca="false">DATE(2000+VALUE(MID(F321,7,2)),VALUE(MID(F321,4,2)),VALUE(LEFT(F321,2)))</f>
        <v>45489</v>
      </c>
      <c r="H321" s="8" t="s">
        <v>1214</v>
      </c>
      <c r="I321" s="9" t="n">
        <f aca="false">DATE(2000+VALUE(MID(H321,7,2)),VALUE(MID(H321,4,2)),VALUE(LEFT(H321,2)))</f>
        <v>45490</v>
      </c>
      <c r="J321" s="9"/>
      <c r="K321" s="10" t="n">
        <v>800000</v>
      </c>
      <c r="L321" s="10" t="n">
        <v>0</v>
      </c>
      <c r="M321" s="10" t="n">
        <v>800000</v>
      </c>
      <c r="N321" s="10" t="n">
        <v>0</v>
      </c>
      <c r="O321" s="10" t="n">
        <v>0</v>
      </c>
      <c r="P321" s="10" t="n">
        <v>0</v>
      </c>
      <c r="Q321" s="10" t="n">
        <v>800000</v>
      </c>
      <c r="R321" s="10" t="n">
        <v>0</v>
      </c>
      <c r="S321" s="10" t="n">
        <v>0</v>
      </c>
      <c r="T321" s="7"/>
      <c r="U321" s="7"/>
      <c r="V321" s="7"/>
      <c r="W321" s="7" t="s">
        <v>43</v>
      </c>
      <c r="X321" s="7"/>
      <c r="Y321" s="7" t="s">
        <v>37</v>
      </c>
      <c r="Z321" s="7" t="s">
        <v>1179</v>
      </c>
      <c r="AA321" s="7"/>
      <c r="AB321" s="10" t="n">
        <v>800000</v>
      </c>
      <c r="AC321" s="10" t="n">
        <v>1</v>
      </c>
    </row>
    <row r="322" customFormat="false" ht="15.75" hidden="true" customHeight="true" outlineLevel="0" collapsed="false">
      <c r="A322" s="6"/>
      <c r="B322" s="7" t="s">
        <v>1216</v>
      </c>
      <c r="C322" s="7" t="s">
        <v>71</v>
      </c>
      <c r="D322" s="7" t="s">
        <v>92</v>
      </c>
      <c r="E322" s="7" t="s">
        <v>1217</v>
      </c>
      <c r="F322" s="8" t="s">
        <v>1218</v>
      </c>
      <c r="G322" s="9" t="n">
        <f aca="false">DATE(2000+VALUE(MID(F322,7,2)),VALUE(MID(F322,4,2)),VALUE(LEFT(F322,2)))</f>
        <v>45488</v>
      </c>
      <c r="H322" s="8" t="s">
        <v>1219</v>
      </c>
      <c r="I322" s="9" t="n">
        <f aca="false">DATE(2000+VALUE(MID(H322,7,2)),VALUE(MID(H322,4,2)),VALUE(LEFT(H322,2)))</f>
        <v>45490</v>
      </c>
      <c r="J322" s="9"/>
      <c r="K322" s="10" t="n">
        <v>1258000</v>
      </c>
      <c r="L322" s="10" t="n">
        <v>97000</v>
      </c>
      <c r="M322" s="10" t="n">
        <v>1355000</v>
      </c>
      <c r="N322" s="10" t="n">
        <v>0</v>
      </c>
      <c r="O322" s="10" t="n">
        <v>0</v>
      </c>
      <c r="P322" s="10" t="n">
        <v>0</v>
      </c>
      <c r="Q322" s="10" t="n">
        <v>1355000</v>
      </c>
      <c r="R322" s="10" t="n">
        <v>0</v>
      </c>
      <c r="S322" s="10" t="n">
        <v>0</v>
      </c>
      <c r="T322" s="7"/>
      <c r="U322" s="7"/>
      <c r="V322" s="7"/>
      <c r="W322" s="7" t="s">
        <v>43</v>
      </c>
      <c r="X322" s="7"/>
      <c r="Y322" s="7" t="s">
        <v>37</v>
      </c>
      <c r="Z322" s="7" t="s">
        <v>1220</v>
      </c>
      <c r="AA322" s="7"/>
      <c r="AB322" s="10" t="n">
        <v>629000</v>
      </c>
      <c r="AC322" s="10" t="n">
        <v>2</v>
      </c>
    </row>
    <row r="323" customFormat="false" ht="15.75" hidden="true" customHeight="true" outlineLevel="0" collapsed="false">
      <c r="A323" s="6"/>
      <c r="B323" s="7" t="s">
        <v>1024</v>
      </c>
      <c r="C323" s="7" t="s">
        <v>65</v>
      </c>
      <c r="D323" s="7" t="s">
        <v>96</v>
      </c>
      <c r="E323" s="7" t="s">
        <v>1221</v>
      </c>
      <c r="F323" s="8" t="s">
        <v>1222</v>
      </c>
      <c r="G323" s="9" t="n">
        <f aca="false">DATE(2000+VALUE(MID(F323,7,2)),VALUE(MID(F323,4,2)),VALUE(LEFT(F323,2)))</f>
        <v>45489</v>
      </c>
      <c r="H323" s="8" t="s">
        <v>1223</v>
      </c>
      <c r="I323" s="9" t="n">
        <f aca="false">DATE(2000+VALUE(MID(H323,7,2)),VALUE(MID(H323,4,2)),VALUE(LEFT(H323,2)))</f>
        <v>45491</v>
      </c>
      <c r="J323" s="9"/>
      <c r="K323" s="10" t="n">
        <v>1170000</v>
      </c>
      <c r="L323" s="10" t="n">
        <v>0</v>
      </c>
      <c r="M323" s="10" t="n">
        <v>1170000</v>
      </c>
      <c r="N323" s="10" t="n">
        <v>0</v>
      </c>
      <c r="O323" s="10" t="n">
        <v>0</v>
      </c>
      <c r="P323" s="10" t="n">
        <v>0</v>
      </c>
      <c r="Q323" s="10" t="n">
        <v>1170000</v>
      </c>
      <c r="R323" s="10" t="n">
        <v>0</v>
      </c>
      <c r="S323" s="10" t="n">
        <v>0</v>
      </c>
      <c r="T323" s="7"/>
      <c r="U323" s="7"/>
      <c r="V323" s="7"/>
      <c r="W323" s="7" t="s">
        <v>43</v>
      </c>
      <c r="X323" s="7"/>
      <c r="Y323" s="7" t="s">
        <v>37</v>
      </c>
      <c r="Z323" s="7" t="s">
        <v>1224</v>
      </c>
      <c r="AA323" s="7"/>
      <c r="AB323" s="10" t="n">
        <v>585000</v>
      </c>
      <c r="AC323" s="10" t="n">
        <v>2</v>
      </c>
    </row>
    <row r="324" customFormat="false" ht="15.75" hidden="true" customHeight="true" outlineLevel="0" collapsed="false">
      <c r="A324" s="6"/>
      <c r="B324" s="7" t="s">
        <v>1225</v>
      </c>
      <c r="C324" s="7" t="s">
        <v>31</v>
      </c>
      <c r="D324" s="7" t="s">
        <v>45</v>
      </c>
      <c r="E324" s="7" t="s">
        <v>1188</v>
      </c>
      <c r="F324" s="8" t="s">
        <v>1226</v>
      </c>
      <c r="G324" s="9" t="n">
        <f aca="false">DATE(2000+VALUE(MID(F324,7,2)),VALUE(MID(F324,4,2)),VALUE(LEFT(F324,2)))</f>
        <v>45489</v>
      </c>
      <c r="H324" s="8" t="s">
        <v>1227</v>
      </c>
      <c r="I324" s="9" t="n">
        <f aca="false">DATE(2000+VALUE(MID(H324,7,2)),VALUE(MID(H324,4,2)),VALUE(LEFT(H324,2)))</f>
        <v>45491</v>
      </c>
      <c r="J324" s="9"/>
      <c r="K324" s="10" t="n">
        <v>800000</v>
      </c>
      <c r="L324" s="10" t="n">
        <v>0</v>
      </c>
      <c r="M324" s="10" t="n">
        <v>800000</v>
      </c>
      <c r="N324" s="10" t="n">
        <v>0</v>
      </c>
      <c r="O324" s="10" t="n">
        <v>355040</v>
      </c>
      <c r="P324" s="10" t="n">
        <v>0</v>
      </c>
      <c r="Q324" s="10" t="n">
        <v>0</v>
      </c>
      <c r="R324" s="10" t="n">
        <v>444960</v>
      </c>
      <c r="S324" s="10" t="n">
        <v>0</v>
      </c>
      <c r="T324" s="7"/>
      <c r="U324" s="7"/>
      <c r="V324" s="7"/>
      <c r="W324" s="7" t="s">
        <v>49</v>
      </c>
      <c r="X324" s="7"/>
      <c r="Y324" s="7" t="s">
        <v>37</v>
      </c>
      <c r="Z324" s="7" t="s">
        <v>1228</v>
      </c>
      <c r="AA324" s="7" t="s">
        <v>1229</v>
      </c>
      <c r="AB324" s="10" t="n">
        <v>400000</v>
      </c>
      <c r="AC324" s="10" t="n">
        <v>2</v>
      </c>
    </row>
    <row r="325" customFormat="false" ht="15.75" hidden="true" customHeight="true" outlineLevel="0" collapsed="false">
      <c r="A325" s="6"/>
      <c r="B325" s="7" t="s">
        <v>899</v>
      </c>
      <c r="C325" s="7" t="s">
        <v>71</v>
      </c>
      <c r="D325" s="7" t="s">
        <v>72</v>
      </c>
      <c r="E325" s="7" t="s">
        <v>798</v>
      </c>
      <c r="F325" s="8" t="s">
        <v>1169</v>
      </c>
      <c r="G325" s="9" t="n">
        <f aca="false">DATE(2000+VALUE(MID(F325,7,2)),VALUE(MID(F325,4,2)),VALUE(LEFT(F325,2)))</f>
        <v>45487</v>
      </c>
      <c r="H325" s="8" t="s">
        <v>1230</v>
      </c>
      <c r="I325" s="9" t="n">
        <f aca="false">DATE(2000+VALUE(MID(H325,7,2)),VALUE(MID(H325,4,2)),VALUE(LEFT(H325,2)))</f>
        <v>45491</v>
      </c>
      <c r="J325" s="9"/>
      <c r="K325" s="10" t="n">
        <v>1779840</v>
      </c>
      <c r="L325" s="10" t="n">
        <v>70000</v>
      </c>
      <c r="M325" s="10" t="n">
        <v>1849840</v>
      </c>
      <c r="N325" s="10" t="n">
        <v>0</v>
      </c>
      <c r="O325" s="10" t="n">
        <v>70000</v>
      </c>
      <c r="P325" s="10" t="n">
        <v>0</v>
      </c>
      <c r="Q325" s="10" t="n">
        <v>0</v>
      </c>
      <c r="R325" s="10" t="n">
        <v>1779840</v>
      </c>
      <c r="S325" s="10" t="n">
        <v>0</v>
      </c>
      <c r="T325" s="7"/>
      <c r="U325" s="7"/>
      <c r="V325" s="7"/>
      <c r="W325" s="7" t="s">
        <v>49</v>
      </c>
      <c r="X325" s="7"/>
      <c r="Y325" s="7" t="s">
        <v>37</v>
      </c>
      <c r="Z325" s="7" t="s">
        <v>1231</v>
      </c>
      <c r="AA325" s="7" t="s">
        <v>1232</v>
      </c>
      <c r="AB325" s="10" t="n">
        <v>444960</v>
      </c>
      <c r="AC325" s="10" t="n">
        <v>4</v>
      </c>
    </row>
    <row r="326" customFormat="false" ht="15.75" hidden="true" customHeight="true" outlineLevel="0" collapsed="false">
      <c r="A326" s="6"/>
      <c r="B326" s="7" t="s">
        <v>1085</v>
      </c>
      <c r="C326" s="7" t="s">
        <v>60</v>
      </c>
      <c r="D326" s="7" t="s">
        <v>61</v>
      </c>
      <c r="E326" s="7" t="s">
        <v>1233</v>
      </c>
      <c r="F326" s="8" t="s">
        <v>1234</v>
      </c>
      <c r="G326" s="9" t="n">
        <f aca="false">DATE(2000+VALUE(MID(F326,7,2)),VALUE(MID(F326,4,2)),VALUE(LEFT(F326,2)))</f>
        <v>45490</v>
      </c>
      <c r="H326" s="8" t="s">
        <v>1230</v>
      </c>
      <c r="I326" s="9" t="n">
        <f aca="false">DATE(2000+VALUE(MID(H326,7,2)),VALUE(MID(H326,4,2)),VALUE(LEFT(H326,2)))</f>
        <v>45491</v>
      </c>
      <c r="J326" s="9"/>
      <c r="K326" s="10" t="n">
        <v>444960</v>
      </c>
      <c r="L326" s="10" t="n">
        <v>0</v>
      </c>
      <c r="M326" s="10" t="n">
        <v>444960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444960</v>
      </c>
      <c r="S326" s="10" t="n">
        <v>0</v>
      </c>
      <c r="T326" s="7"/>
      <c r="U326" s="7"/>
      <c r="V326" s="7"/>
      <c r="W326" s="7" t="s">
        <v>49</v>
      </c>
      <c r="X326" s="7"/>
      <c r="Y326" s="7" t="s">
        <v>37</v>
      </c>
      <c r="Z326" s="7" t="s">
        <v>1235</v>
      </c>
      <c r="AA326" s="7" t="s">
        <v>1236</v>
      </c>
      <c r="AB326" s="10" t="n">
        <v>444960</v>
      </c>
      <c r="AC326" s="10" t="n">
        <v>1</v>
      </c>
    </row>
    <row r="327" customFormat="false" ht="15.75" hidden="true" customHeight="true" outlineLevel="0" collapsed="false">
      <c r="A327" s="6"/>
      <c r="B327" s="7" t="s">
        <v>1237</v>
      </c>
      <c r="C327" s="7" t="s">
        <v>65</v>
      </c>
      <c r="D327" s="7" t="s">
        <v>156</v>
      </c>
      <c r="E327" s="7" t="s">
        <v>1238</v>
      </c>
      <c r="F327" s="8" t="s">
        <v>1239</v>
      </c>
      <c r="G327" s="9" t="n">
        <f aca="false">DATE(2000+VALUE(MID(F327,7,2)),VALUE(MID(F327,4,2)),VALUE(LEFT(F327,2)))</f>
        <v>45489</v>
      </c>
      <c r="H327" s="8" t="s">
        <v>1240</v>
      </c>
      <c r="I327" s="9" t="n">
        <f aca="false">DATE(2000+VALUE(MID(H327,7,2)),VALUE(MID(H327,4,2)),VALUE(LEFT(H327,2)))</f>
        <v>45491</v>
      </c>
      <c r="J327" s="9"/>
      <c r="K327" s="10" t="n">
        <v>1110000</v>
      </c>
      <c r="L327" s="10" t="n">
        <v>20000</v>
      </c>
      <c r="M327" s="10" t="n">
        <v>1130000</v>
      </c>
      <c r="N327" s="10" t="n">
        <v>0</v>
      </c>
      <c r="O327" s="10" t="n">
        <v>0</v>
      </c>
      <c r="P327" s="10" t="n">
        <v>0</v>
      </c>
      <c r="Q327" s="10" t="n">
        <v>1130000</v>
      </c>
      <c r="R327" s="10" t="n">
        <v>0</v>
      </c>
      <c r="S327" s="10" t="n">
        <v>0</v>
      </c>
      <c r="T327" s="7"/>
      <c r="U327" s="7"/>
      <c r="V327" s="7"/>
      <c r="W327" s="7" t="s">
        <v>43</v>
      </c>
      <c r="X327" s="7"/>
      <c r="Y327" s="7" t="s">
        <v>37</v>
      </c>
      <c r="Z327" s="7" t="s">
        <v>1241</v>
      </c>
      <c r="AA327" s="7"/>
      <c r="AB327" s="10" t="n">
        <v>555000</v>
      </c>
      <c r="AC327" s="10" t="n">
        <v>2</v>
      </c>
    </row>
    <row r="328" customFormat="false" ht="15.75" hidden="true" customHeight="true" outlineLevel="0" collapsed="false">
      <c r="A328" s="6"/>
      <c r="B328" s="7" t="s">
        <v>932</v>
      </c>
      <c r="C328" s="7" t="s">
        <v>65</v>
      </c>
      <c r="D328" s="7" t="s">
        <v>87</v>
      </c>
      <c r="E328" s="7" t="s">
        <v>1242</v>
      </c>
      <c r="F328" s="8" t="s">
        <v>1243</v>
      </c>
      <c r="G328" s="9" t="n">
        <f aca="false">DATE(2000+VALUE(MID(F328,7,2)),VALUE(MID(F328,4,2)),VALUE(LEFT(F328,2)))</f>
        <v>45489</v>
      </c>
      <c r="H328" s="8" t="s">
        <v>1244</v>
      </c>
      <c r="I328" s="9" t="n">
        <f aca="false">DATE(2000+VALUE(MID(H328,7,2)),VALUE(MID(H328,4,2)),VALUE(LEFT(H328,2)))</f>
        <v>45492</v>
      </c>
      <c r="J328" s="9"/>
      <c r="K328" s="10" t="n">
        <v>1482000</v>
      </c>
      <c r="L328" s="10" t="n">
        <v>0</v>
      </c>
      <c r="M328" s="10" t="n">
        <v>1482000</v>
      </c>
      <c r="N328" s="10" t="n">
        <v>0</v>
      </c>
      <c r="O328" s="10" t="n">
        <v>0</v>
      </c>
      <c r="P328" s="10" t="n">
        <v>0</v>
      </c>
      <c r="Q328" s="10" t="n">
        <v>1482000</v>
      </c>
      <c r="R328" s="10" t="n">
        <v>0</v>
      </c>
      <c r="S328" s="10" t="n">
        <v>0</v>
      </c>
      <c r="T328" s="7"/>
      <c r="U328" s="7"/>
      <c r="V328" s="7"/>
      <c r="W328" s="7" t="s">
        <v>43</v>
      </c>
      <c r="X328" s="7"/>
      <c r="Y328" s="7" t="s">
        <v>37</v>
      </c>
      <c r="Z328" s="7" t="s">
        <v>1245</v>
      </c>
      <c r="AA328" s="7"/>
      <c r="AB328" s="10" t="n">
        <v>494000</v>
      </c>
      <c r="AC328" s="10" t="n">
        <v>3</v>
      </c>
    </row>
    <row r="329" customFormat="false" ht="15.75" hidden="true" customHeight="true" outlineLevel="0" collapsed="false">
      <c r="A329" s="6"/>
      <c r="B329" s="7" t="s">
        <v>1039</v>
      </c>
      <c r="C329" s="7" t="s">
        <v>65</v>
      </c>
      <c r="D329" s="7" t="s">
        <v>156</v>
      </c>
      <c r="E329" s="7" t="s">
        <v>1246</v>
      </c>
      <c r="F329" s="8" t="s">
        <v>1247</v>
      </c>
      <c r="G329" s="9" t="n">
        <f aca="false">DATE(2000+VALUE(MID(F329,7,2)),VALUE(MID(F329,4,2)),VALUE(LEFT(F329,2)))</f>
        <v>45491</v>
      </c>
      <c r="H329" s="8" t="s">
        <v>1248</v>
      </c>
      <c r="I329" s="9" t="n">
        <f aca="false">DATE(2000+VALUE(MID(H329,7,2)),VALUE(MID(H329,4,2)),VALUE(LEFT(H329,2)))</f>
        <v>45492</v>
      </c>
      <c r="J329" s="9"/>
      <c r="K329" s="10" t="n">
        <v>493920</v>
      </c>
      <c r="L329" s="10" t="n">
        <v>0</v>
      </c>
      <c r="M329" s="10" t="n">
        <v>493920</v>
      </c>
      <c r="N329" s="10" t="n">
        <v>0</v>
      </c>
      <c r="O329" s="10" t="n">
        <v>0</v>
      </c>
      <c r="P329" s="10" t="n">
        <v>0</v>
      </c>
      <c r="Q329" s="10" t="n">
        <v>0</v>
      </c>
      <c r="R329" s="10" t="n">
        <v>493920</v>
      </c>
      <c r="S329" s="10" t="n">
        <v>0</v>
      </c>
      <c r="T329" s="7"/>
      <c r="U329" s="7"/>
      <c r="V329" s="7"/>
      <c r="W329" s="7" t="s">
        <v>49</v>
      </c>
      <c r="X329" s="7"/>
      <c r="Y329" s="7" t="s">
        <v>37</v>
      </c>
      <c r="Z329" s="7" t="s">
        <v>1249</v>
      </c>
      <c r="AA329" s="7" t="s">
        <v>1250</v>
      </c>
      <c r="AB329" s="10" t="n">
        <v>493920</v>
      </c>
      <c r="AC329" s="10" t="n">
        <v>1</v>
      </c>
    </row>
    <row r="330" customFormat="false" ht="15.75" hidden="true" customHeight="true" outlineLevel="0" collapsed="false">
      <c r="A330" s="6"/>
      <c r="B330" s="7" t="s">
        <v>1029</v>
      </c>
      <c r="C330" s="7" t="s">
        <v>60</v>
      </c>
      <c r="D330" s="7" t="s">
        <v>116</v>
      </c>
      <c r="E330" s="7" t="s">
        <v>1251</v>
      </c>
      <c r="F330" s="8" t="s">
        <v>1252</v>
      </c>
      <c r="G330" s="9" t="n">
        <f aca="false">DATE(2000+VALUE(MID(F330,7,2)),VALUE(MID(F330,4,2)),VALUE(LEFT(F330,2)))</f>
        <v>45491</v>
      </c>
      <c r="H330" s="8" t="s">
        <v>1253</v>
      </c>
      <c r="I330" s="9" t="n">
        <f aca="false">DATE(2000+VALUE(MID(H330,7,2)),VALUE(MID(H330,4,2)),VALUE(LEFT(H330,2)))</f>
        <v>45492</v>
      </c>
      <c r="J330" s="9"/>
      <c r="K330" s="10" t="n">
        <v>470000</v>
      </c>
      <c r="L330" s="10" t="n">
        <v>0</v>
      </c>
      <c r="M330" s="10" t="n">
        <v>470000</v>
      </c>
      <c r="N330" s="10" t="n">
        <v>0</v>
      </c>
      <c r="O330" s="10" t="n">
        <v>0</v>
      </c>
      <c r="P330" s="10" t="n">
        <v>0</v>
      </c>
      <c r="Q330" s="10" t="n">
        <v>470000</v>
      </c>
      <c r="R330" s="10" t="n">
        <v>0</v>
      </c>
      <c r="S330" s="10" t="n">
        <v>0</v>
      </c>
      <c r="T330" s="7"/>
      <c r="U330" s="7"/>
      <c r="V330" s="7"/>
      <c r="W330" s="7" t="s">
        <v>43</v>
      </c>
      <c r="X330" s="7"/>
      <c r="Y330" s="7" t="s">
        <v>37</v>
      </c>
      <c r="Z330" s="7" t="s">
        <v>1254</v>
      </c>
      <c r="AA330" s="7"/>
      <c r="AB330" s="10" t="n">
        <v>470000</v>
      </c>
      <c r="AC330" s="10" t="n">
        <v>1</v>
      </c>
    </row>
    <row r="331" customFormat="false" ht="15.75" hidden="true" customHeight="true" outlineLevel="0" collapsed="false">
      <c r="A331" s="6"/>
      <c r="B331" s="7" t="s">
        <v>970</v>
      </c>
      <c r="C331" s="7" t="s">
        <v>31</v>
      </c>
      <c r="D331" s="7" t="s">
        <v>337</v>
      </c>
      <c r="E331" s="7" t="s">
        <v>1255</v>
      </c>
      <c r="F331" s="8" t="s">
        <v>1169</v>
      </c>
      <c r="G331" s="9" t="n">
        <f aca="false">DATE(2000+VALUE(MID(F331,7,2)),VALUE(MID(F331,4,2)),VALUE(LEFT(F331,2)))</f>
        <v>45487</v>
      </c>
      <c r="H331" s="8" t="s">
        <v>1256</v>
      </c>
      <c r="I331" s="9" t="n">
        <f aca="false">DATE(2000+VALUE(MID(H331,7,2)),VALUE(MID(H331,4,2)),VALUE(LEFT(H331,2)))</f>
        <v>45492</v>
      </c>
      <c r="J331" s="9"/>
      <c r="K331" s="10" t="n">
        <v>3369000</v>
      </c>
      <c r="L331" s="10" t="n">
        <v>150000</v>
      </c>
      <c r="M331" s="10" t="n">
        <v>3519000</v>
      </c>
      <c r="N331" s="10" t="n">
        <v>0</v>
      </c>
      <c r="O331" s="10" t="n">
        <v>0</v>
      </c>
      <c r="P331" s="10" t="n">
        <v>0</v>
      </c>
      <c r="Q331" s="10" t="n">
        <v>3519000</v>
      </c>
      <c r="R331" s="10" t="n">
        <v>0</v>
      </c>
      <c r="S331" s="10" t="n">
        <v>0</v>
      </c>
      <c r="T331" s="7"/>
      <c r="U331" s="7"/>
      <c r="V331" s="7"/>
      <c r="W331" s="7" t="s">
        <v>43</v>
      </c>
      <c r="X331" s="7"/>
      <c r="Y331" s="7" t="s">
        <v>37</v>
      </c>
      <c r="Z331" s="7" t="s">
        <v>1257</v>
      </c>
      <c r="AA331" s="7"/>
      <c r="AB331" s="10" t="n">
        <v>673800</v>
      </c>
      <c r="AC331" s="10" t="n">
        <v>5</v>
      </c>
    </row>
    <row r="332" customFormat="false" ht="15.75" hidden="true" customHeight="true" outlineLevel="0" collapsed="false">
      <c r="A332" s="6"/>
      <c r="B332" s="7" t="s">
        <v>1258</v>
      </c>
      <c r="C332" s="7" t="s">
        <v>65</v>
      </c>
      <c r="D332" s="7" t="s">
        <v>76</v>
      </c>
      <c r="E332" s="7" t="s">
        <v>1259</v>
      </c>
      <c r="F332" s="8" t="s">
        <v>1260</v>
      </c>
      <c r="G332" s="9" t="n">
        <f aca="false">DATE(2000+VALUE(MID(F332,7,2)),VALUE(MID(F332,4,2)),VALUE(LEFT(F332,2)))</f>
        <v>45490</v>
      </c>
      <c r="H332" s="8" t="s">
        <v>1256</v>
      </c>
      <c r="I332" s="9" t="n">
        <f aca="false">DATE(2000+VALUE(MID(H332,7,2)),VALUE(MID(H332,4,2)),VALUE(LEFT(H332,2)))</f>
        <v>45492</v>
      </c>
      <c r="J332" s="9"/>
      <c r="K332" s="10" t="n">
        <v>990000</v>
      </c>
      <c r="L332" s="10" t="n">
        <v>0</v>
      </c>
      <c r="M332" s="10" t="n">
        <v>990000</v>
      </c>
      <c r="N332" s="10" t="n">
        <v>0</v>
      </c>
      <c r="O332" s="10" t="n">
        <v>0</v>
      </c>
      <c r="P332" s="10" t="n">
        <v>0</v>
      </c>
      <c r="Q332" s="10" t="n">
        <v>990000</v>
      </c>
      <c r="R332" s="10" t="n">
        <v>0</v>
      </c>
      <c r="S332" s="10" t="n">
        <v>0</v>
      </c>
      <c r="T332" s="7"/>
      <c r="U332" s="7"/>
      <c r="V332" s="7"/>
      <c r="W332" s="7" t="s">
        <v>54</v>
      </c>
      <c r="X332" s="7"/>
      <c r="Y332" s="7" t="s">
        <v>37</v>
      </c>
      <c r="Z332" s="7" t="s">
        <v>45</v>
      </c>
      <c r="AA332" s="7"/>
      <c r="AB332" s="10" t="n">
        <v>495000</v>
      </c>
      <c r="AC332" s="10" t="n">
        <v>2</v>
      </c>
    </row>
    <row r="333" customFormat="false" ht="15.75" hidden="true" customHeight="true" outlineLevel="0" collapsed="false">
      <c r="A333" s="6"/>
      <c r="B333" s="7" t="s">
        <v>1005</v>
      </c>
      <c r="C333" s="7" t="s">
        <v>31</v>
      </c>
      <c r="D333" s="7" t="s">
        <v>45</v>
      </c>
      <c r="E333" s="7" t="s">
        <v>1261</v>
      </c>
      <c r="F333" s="8" t="s">
        <v>1262</v>
      </c>
      <c r="G333" s="9" t="n">
        <f aca="false">DATE(2000+VALUE(MID(F333,7,2)),VALUE(MID(F333,4,2)),VALUE(LEFT(F333,2)))</f>
        <v>45491</v>
      </c>
      <c r="H333" s="8" t="s">
        <v>1256</v>
      </c>
      <c r="I333" s="9" t="n">
        <f aca="false">DATE(2000+VALUE(MID(H333,7,2)),VALUE(MID(H333,4,2)),VALUE(LEFT(H333,2)))</f>
        <v>45492</v>
      </c>
      <c r="J333" s="9"/>
      <c r="K333" s="10" t="n">
        <v>495000</v>
      </c>
      <c r="L333" s="10" t="n">
        <v>0</v>
      </c>
      <c r="M333" s="10" t="n">
        <v>495000</v>
      </c>
      <c r="N333" s="10" t="n">
        <v>0</v>
      </c>
      <c r="O333" s="10" t="n">
        <v>495000</v>
      </c>
      <c r="P333" s="10" t="n">
        <v>0</v>
      </c>
      <c r="Q333" s="10" t="n">
        <v>0</v>
      </c>
      <c r="R333" s="10" t="n">
        <v>0</v>
      </c>
      <c r="S333" s="10" t="n">
        <v>0</v>
      </c>
      <c r="T333" s="7"/>
      <c r="U333" s="7"/>
      <c r="V333" s="7"/>
      <c r="W333" s="7" t="s">
        <v>43</v>
      </c>
      <c r="X333" s="7"/>
      <c r="Y333" s="7" t="s">
        <v>37</v>
      </c>
      <c r="Z333" s="7" t="s">
        <v>1263</v>
      </c>
      <c r="AA333" s="7"/>
      <c r="AB333" s="10" t="n">
        <v>495000</v>
      </c>
      <c r="AC333" s="10" t="n">
        <v>1</v>
      </c>
    </row>
    <row r="334" customFormat="false" ht="15.75" hidden="true" customHeight="true" outlineLevel="0" collapsed="false">
      <c r="A334" s="6"/>
      <c r="B334" s="7" t="s">
        <v>1010</v>
      </c>
      <c r="C334" s="7" t="s">
        <v>31</v>
      </c>
      <c r="D334" s="7" t="s">
        <v>105</v>
      </c>
      <c r="E334" s="7" t="s">
        <v>1264</v>
      </c>
      <c r="F334" s="8" t="s">
        <v>1262</v>
      </c>
      <c r="G334" s="9" t="n">
        <f aca="false">DATE(2000+VALUE(MID(F334,7,2)),VALUE(MID(F334,4,2)),VALUE(LEFT(F334,2)))</f>
        <v>45491</v>
      </c>
      <c r="H334" s="8" t="s">
        <v>1256</v>
      </c>
      <c r="I334" s="9" t="n">
        <f aca="false">DATE(2000+VALUE(MID(H334,7,2)),VALUE(MID(H334,4,2)),VALUE(LEFT(H334,2)))</f>
        <v>45492</v>
      </c>
      <c r="J334" s="9"/>
      <c r="K334" s="10" t="n">
        <v>585000</v>
      </c>
      <c r="L334" s="10" t="n">
        <v>0</v>
      </c>
      <c r="M334" s="10" t="n">
        <v>585000</v>
      </c>
      <c r="N334" s="10" t="n">
        <v>0</v>
      </c>
      <c r="O334" s="10" t="n">
        <v>0</v>
      </c>
      <c r="P334" s="10" t="n">
        <v>0</v>
      </c>
      <c r="Q334" s="10" t="n">
        <v>585000</v>
      </c>
      <c r="R334" s="10" t="n">
        <v>0</v>
      </c>
      <c r="S334" s="10" t="n">
        <v>0</v>
      </c>
      <c r="T334" s="7"/>
      <c r="U334" s="7"/>
      <c r="V334" s="7"/>
      <c r="W334" s="7" t="s">
        <v>43</v>
      </c>
      <c r="X334" s="7"/>
      <c r="Y334" s="7" t="s">
        <v>37</v>
      </c>
      <c r="Z334" s="7" t="s">
        <v>1265</v>
      </c>
      <c r="AA334" s="7"/>
      <c r="AB334" s="10" t="n">
        <v>585000</v>
      </c>
      <c r="AC334" s="10" t="n">
        <v>1</v>
      </c>
    </row>
    <row r="335" customFormat="false" ht="15.75" hidden="true" customHeight="true" outlineLevel="0" collapsed="false">
      <c r="A335" s="6"/>
      <c r="B335" s="7" t="s">
        <v>1064</v>
      </c>
      <c r="C335" s="7" t="s">
        <v>71</v>
      </c>
      <c r="D335" s="7" t="s">
        <v>72</v>
      </c>
      <c r="E335" s="7" t="s">
        <v>498</v>
      </c>
      <c r="F335" s="8" t="s">
        <v>1266</v>
      </c>
      <c r="G335" s="9" t="n">
        <f aca="false">DATE(2000+VALUE(MID(F335,7,2)),VALUE(MID(F335,4,2)),VALUE(LEFT(F335,2)))</f>
        <v>45491</v>
      </c>
      <c r="H335" s="8" t="s">
        <v>1267</v>
      </c>
      <c r="I335" s="9" t="n">
        <f aca="false">DATE(2000+VALUE(MID(H335,7,2)),VALUE(MID(H335,4,2)),VALUE(LEFT(H335,2)))</f>
        <v>45492</v>
      </c>
      <c r="J335" s="9"/>
      <c r="K335" s="10" t="n">
        <v>525600</v>
      </c>
      <c r="L335" s="10" t="n">
        <v>15000</v>
      </c>
      <c r="M335" s="10" t="n">
        <v>540600</v>
      </c>
      <c r="N335" s="10" t="n">
        <v>0</v>
      </c>
      <c r="O335" s="10" t="n">
        <v>15000</v>
      </c>
      <c r="P335" s="10" t="n">
        <v>0</v>
      </c>
      <c r="Q335" s="10" t="n">
        <v>0</v>
      </c>
      <c r="R335" s="10" t="n">
        <v>525600</v>
      </c>
      <c r="S335" s="10" t="n">
        <v>0</v>
      </c>
      <c r="T335" s="7"/>
      <c r="U335" s="7"/>
      <c r="V335" s="7"/>
      <c r="W335" s="7" t="s">
        <v>49</v>
      </c>
      <c r="X335" s="7"/>
      <c r="Y335" s="7" t="s">
        <v>37</v>
      </c>
      <c r="Z335" s="7" t="s">
        <v>1268</v>
      </c>
      <c r="AA335" s="7" t="s">
        <v>1269</v>
      </c>
      <c r="AB335" s="10" t="n">
        <v>525600</v>
      </c>
      <c r="AC335" s="10" t="n">
        <v>1</v>
      </c>
    </row>
    <row r="336" customFormat="false" ht="15.75" hidden="true" customHeight="true" outlineLevel="0" collapsed="false">
      <c r="A336" s="6"/>
      <c r="B336" s="7" t="s">
        <v>1270</v>
      </c>
      <c r="C336" s="7" t="s">
        <v>31</v>
      </c>
      <c r="D336" s="7" t="s">
        <v>32</v>
      </c>
      <c r="E336" s="7" t="s">
        <v>1271</v>
      </c>
      <c r="F336" s="8" t="s">
        <v>1272</v>
      </c>
      <c r="G336" s="9" t="n">
        <f aca="false">DATE(2000+VALUE(MID(F336,7,2)),VALUE(MID(F336,4,2)),VALUE(LEFT(F336,2)))</f>
        <v>45492</v>
      </c>
      <c r="H336" s="8" t="s">
        <v>1273</v>
      </c>
      <c r="I336" s="9" t="n">
        <f aca="false">DATE(2000+VALUE(MID(H336,7,2)),VALUE(MID(H336,4,2)),VALUE(LEFT(H336,2)))</f>
        <v>45492</v>
      </c>
      <c r="J336" s="9"/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  <c r="S336" s="10" t="n">
        <v>0</v>
      </c>
      <c r="T336" s="7"/>
      <c r="U336" s="7"/>
      <c r="V336" s="7"/>
      <c r="W336" s="7" t="s">
        <v>43</v>
      </c>
      <c r="X336" s="7"/>
      <c r="Y336" s="7" t="s">
        <v>37</v>
      </c>
      <c r="Z336" s="7" t="s">
        <v>1274</v>
      </c>
      <c r="AA336" s="7"/>
      <c r="AB336" s="10" t="n">
        <v>0</v>
      </c>
      <c r="AC336" s="10" t="n">
        <v>1</v>
      </c>
    </row>
    <row r="337" customFormat="false" ht="15.75" hidden="true" customHeight="true" outlineLevel="0" collapsed="false">
      <c r="A337" s="6"/>
      <c r="B337" s="7" t="s">
        <v>1275</v>
      </c>
      <c r="C337" s="7" t="s">
        <v>60</v>
      </c>
      <c r="D337" s="7" t="s">
        <v>173</v>
      </c>
      <c r="E337" s="7" t="s">
        <v>1264</v>
      </c>
      <c r="F337" s="8" t="s">
        <v>1276</v>
      </c>
      <c r="G337" s="9" t="n">
        <f aca="false">DATE(2000+VALUE(MID(F337,7,2)),VALUE(MID(F337,4,2)),VALUE(LEFT(F337,2)))</f>
        <v>45492</v>
      </c>
      <c r="H337" s="8" t="s">
        <v>1277</v>
      </c>
      <c r="I337" s="9" t="n">
        <f aca="false">DATE(2000+VALUE(MID(H337,7,2)),VALUE(MID(H337,4,2)),VALUE(LEFT(H337,2)))</f>
        <v>45493</v>
      </c>
      <c r="J337" s="9"/>
      <c r="K337" s="10" t="n">
        <v>585000</v>
      </c>
      <c r="L337" s="10" t="n">
        <v>20000</v>
      </c>
      <c r="M337" s="10" t="n">
        <v>605000</v>
      </c>
      <c r="N337" s="10" t="n">
        <v>0</v>
      </c>
      <c r="O337" s="10" t="n">
        <v>20000</v>
      </c>
      <c r="P337" s="10" t="n">
        <v>0</v>
      </c>
      <c r="Q337" s="10" t="n">
        <v>585000</v>
      </c>
      <c r="R337" s="10" t="n">
        <v>0</v>
      </c>
      <c r="S337" s="10" t="n">
        <v>0</v>
      </c>
      <c r="T337" s="7"/>
      <c r="U337" s="7"/>
      <c r="V337" s="7"/>
      <c r="W337" s="7" t="s">
        <v>43</v>
      </c>
      <c r="X337" s="7"/>
      <c r="Y337" s="7" t="s">
        <v>37</v>
      </c>
      <c r="Z337" s="7" t="s">
        <v>1278</v>
      </c>
      <c r="AA337" s="7"/>
      <c r="AB337" s="10" t="n">
        <v>585000</v>
      </c>
      <c r="AC337" s="10" t="n">
        <v>1</v>
      </c>
    </row>
    <row r="338" customFormat="false" ht="15.75" hidden="true" customHeight="true" outlineLevel="0" collapsed="false">
      <c r="A338" s="6"/>
      <c r="B338" s="7" t="s">
        <v>1279</v>
      </c>
      <c r="C338" s="7" t="s">
        <v>31</v>
      </c>
      <c r="D338" s="7" t="s">
        <v>32</v>
      </c>
      <c r="E338" s="7" t="s">
        <v>1271</v>
      </c>
      <c r="F338" s="8" t="s">
        <v>1280</v>
      </c>
      <c r="G338" s="9" t="n">
        <f aca="false">DATE(2000+VALUE(MID(F338,7,2)),VALUE(MID(F338,4,2)),VALUE(LEFT(F338,2)))</f>
        <v>45492</v>
      </c>
      <c r="H338" s="8" t="s">
        <v>1281</v>
      </c>
      <c r="I338" s="9" t="n">
        <f aca="false">DATE(2000+VALUE(MID(H338,7,2)),VALUE(MID(H338,4,2)),VALUE(LEFT(H338,2)))</f>
        <v>45493</v>
      </c>
      <c r="J338" s="9"/>
      <c r="K338" s="10" t="n">
        <v>350000</v>
      </c>
      <c r="L338" s="10" t="n">
        <v>0</v>
      </c>
      <c r="M338" s="10" t="n">
        <v>350000</v>
      </c>
      <c r="N338" s="10" t="n">
        <v>0</v>
      </c>
      <c r="O338" s="10" t="n">
        <v>350000</v>
      </c>
      <c r="P338" s="10" t="n">
        <v>0</v>
      </c>
      <c r="Q338" s="10" t="n">
        <v>0</v>
      </c>
      <c r="R338" s="10" t="n">
        <v>0</v>
      </c>
      <c r="S338" s="10" t="n">
        <v>0</v>
      </c>
      <c r="T338" s="7"/>
      <c r="U338" s="7"/>
      <c r="V338" s="7"/>
      <c r="W338" s="7" t="s">
        <v>43</v>
      </c>
      <c r="X338" s="7"/>
      <c r="Y338" s="7" t="s">
        <v>37</v>
      </c>
      <c r="Z338" s="7" t="s">
        <v>1282</v>
      </c>
      <c r="AA338" s="7"/>
      <c r="AB338" s="10" t="n">
        <v>350000</v>
      </c>
      <c r="AC338" s="10" t="n">
        <v>1</v>
      </c>
    </row>
    <row r="339" customFormat="false" ht="15.75" hidden="true" customHeight="true" outlineLevel="0" collapsed="false">
      <c r="A339" s="6"/>
      <c r="B339" s="7" t="s">
        <v>1062</v>
      </c>
      <c r="C339" s="7" t="s">
        <v>60</v>
      </c>
      <c r="D339" s="7" t="s">
        <v>61</v>
      </c>
      <c r="E339" s="7" t="s">
        <v>1283</v>
      </c>
      <c r="F339" s="8" t="s">
        <v>1284</v>
      </c>
      <c r="G339" s="9" t="n">
        <f aca="false">DATE(2000+VALUE(MID(F339,7,2)),VALUE(MID(F339,4,2)),VALUE(LEFT(F339,2)))</f>
        <v>45492</v>
      </c>
      <c r="H339" s="8" t="s">
        <v>1285</v>
      </c>
      <c r="I339" s="9" t="n">
        <f aca="false">DATE(2000+VALUE(MID(H339,7,2)),VALUE(MID(H339,4,2)),VALUE(LEFT(H339,2)))</f>
        <v>45493</v>
      </c>
      <c r="J339" s="9"/>
      <c r="K339" s="10" t="n">
        <v>495000</v>
      </c>
      <c r="L339" s="10" t="n">
        <v>0</v>
      </c>
      <c r="M339" s="10" t="n">
        <v>495000</v>
      </c>
      <c r="N339" s="10" t="n">
        <v>0</v>
      </c>
      <c r="O339" s="10" t="n">
        <v>0</v>
      </c>
      <c r="P339" s="10" t="n">
        <v>0</v>
      </c>
      <c r="Q339" s="10" t="n">
        <v>495000</v>
      </c>
      <c r="R339" s="10" t="n">
        <v>0</v>
      </c>
      <c r="S339" s="10" t="n">
        <v>0</v>
      </c>
      <c r="T339" s="7"/>
      <c r="U339" s="7"/>
      <c r="V339" s="7"/>
      <c r="W339" s="7" t="s">
        <v>43</v>
      </c>
      <c r="X339" s="7"/>
      <c r="Y339" s="7" t="s">
        <v>37</v>
      </c>
      <c r="Z339" s="7" t="s">
        <v>1286</v>
      </c>
      <c r="AA339" s="7"/>
      <c r="AB339" s="10" t="n">
        <v>495000</v>
      </c>
      <c r="AC339" s="10" t="n">
        <v>1</v>
      </c>
    </row>
    <row r="340" customFormat="false" ht="15.75" hidden="true" customHeight="true" outlineLevel="0" collapsed="false">
      <c r="A340" s="6"/>
      <c r="B340" s="7" t="s">
        <v>1287</v>
      </c>
      <c r="C340" s="7" t="s">
        <v>31</v>
      </c>
      <c r="D340" s="7" t="s">
        <v>105</v>
      </c>
      <c r="E340" s="7" t="s">
        <v>1288</v>
      </c>
      <c r="F340" s="8" t="s">
        <v>1289</v>
      </c>
      <c r="G340" s="9" t="n">
        <f aca="false">DATE(2000+VALUE(MID(F340,7,2)),VALUE(MID(F340,4,2)),VALUE(LEFT(F340,2)))</f>
        <v>45492</v>
      </c>
      <c r="H340" s="8" t="s">
        <v>1290</v>
      </c>
      <c r="I340" s="9" t="n">
        <f aca="false">DATE(2000+VALUE(MID(H340,7,2)),VALUE(MID(H340,4,2)),VALUE(LEFT(H340,2)))</f>
        <v>45493</v>
      </c>
      <c r="J340" s="9"/>
      <c r="K340" s="10" t="n">
        <v>899000</v>
      </c>
      <c r="L340" s="10" t="n">
        <v>0</v>
      </c>
      <c r="M340" s="10" t="n">
        <v>899000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899000</v>
      </c>
      <c r="S340" s="10" t="n">
        <v>0</v>
      </c>
      <c r="T340" s="7"/>
      <c r="U340" s="7"/>
      <c r="V340" s="7"/>
      <c r="W340" s="7" t="s">
        <v>43</v>
      </c>
      <c r="X340" s="7"/>
      <c r="Y340" s="7" t="s">
        <v>37</v>
      </c>
      <c r="Z340" s="7" t="s">
        <v>1291</v>
      </c>
      <c r="AA340" s="7"/>
      <c r="AB340" s="10" t="n">
        <v>899000</v>
      </c>
      <c r="AC340" s="10" t="n">
        <v>1</v>
      </c>
    </row>
    <row r="341" customFormat="false" ht="15.75" hidden="true" customHeight="true" outlineLevel="0" collapsed="false">
      <c r="A341" s="6"/>
      <c r="B341" s="7" t="s">
        <v>990</v>
      </c>
      <c r="C341" s="7" t="s">
        <v>71</v>
      </c>
      <c r="D341" s="7" t="s">
        <v>92</v>
      </c>
      <c r="E341" s="7" t="s">
        <v>1188</v>
      </c>
      <c r="F341" s="8" t="s">
        <v>1292</v>
      </c>
      <c r="G341" s="9" t="n">
        <f aca="false">DATE(2000+VALUE(MID(F341,7,2)),VALUE(MID(F341,4,2)),VALUE(LEFT(F341,2)))</f>
        <v>45491</v>
      </c>
      <c r="H341" s="8" t="s">
        <v>1293</v>
      </c>
      <c r="I341" s="9" t="n">
        <f aca="false">DATE(2000+VALUE(MID(H341,7,2)),VALUE(MID(H341,4,2)),VALUE(LEFT(H341,2)))</f>
        <v>45493</v>
      </c>
      <c r="J341" s="9"/>
      <c r="K341" s="10" t="n">
        <v>1100000</v>
      </c>
      <c r="L341" s="10" t="n">
        <v>0</v>
      </c>
      <c r="M341" s="10" t="n">
        <v>1100000</v>
      </c>
      <c r="N341" s="10" t="n">
        <v>0</v>
      </c>
      <c r="O341" s="10" t="n">
        <v>1100000</v>
      </c>
      <c r="P341" s="10" t="n">
        <v>0</v>
      </c>
      <c r="Q341" s="10" t="n">
        <v>0</v>
      </c>
      <c r="R341" s="10" t="n">
        <v>0</v>
      </c>
      <c r="S341" s="10" t="n">
        <v>0</v>
      </c>
      <c r="T341" s="7"/>
      <c r="U341" s="7"/>
      <c r="V341" s="7"/>
      <c r="W341" s="7" t="s">
        <v>43</v>
      </c>
      <c r="X341" s="7"/>
      <c r="Y341" s="7" t="s">
        <v>37</v>
      </c>
      <c r="Z341" s="7" t="s">
        <v>82</v>
      </c>
      <c r="AA341" s="7"/>
      <c r="AB341" s="10" t="n">
        <v>550000</v>
      </c>
      <c r="AC341" s="10" t="n">
        <v>2</v>
      </c>
    </row>
    <row r="342" customFormat="false" ht="15.75" hidden="true" customHeight="true" outlineLevel="0" collapsed="false">
      <c r="A342" s="6"/>
      <c r="B342" s="7" t="s">
        <v>1294</v>
      </c>
      <c r="C342" s="7" t="s">
        <v>71</v>
      </c>
      <c r="D342" s="7" t="s">
        <v>72</v>
      </c>
      <c r="E342" s="7" t="s">
        <v>498</v>
      </c>
      <c r="F342" s="8" t="s">
        <v>1295</v>
      </c>
      <c r="G342" s="9" t="n">
        <f aca="false">DATE(2000+VALUE(MID(F342,7,2)),VALUE(MID(F342,4,2)),VALUE(LEFT(F342,2)))</f>
        <v>45492</v>
      </c>
      <c r="H342" s="8" t="s">
        <v>1296</v>
      </c>
      <c r="I342" s="9" t="n">
        <f aca="false">DATE(2000+VALUE(MID(H342,7,2)),VALUE(MID(H342,4,2)),VALUE(LEFT(H342,2)))</f>
        <v>45493</v>
      </c>
      <c r="J342" s="9"/>
      <c r="K342" s="10" t="n">
        <v>580000</v>
      </c>
      <c r="L342" s="10" t="n">
        <v>0</v>
      </c>
      <c r="M342" s="10" t="n">
        <v>580000</v>
      </c>
      <c r="N342" s="10" t="n">
        <v>0</v>
      </c>
      <c r="O342" s="10" t="n">
        <v>580000</v>
      </c>
      <c r="P342" s="10" t="n">
        <v>0</v>
      </c>
      <c r="Q342" s="10" t="n">
        <v>0</v>
      </c>
      <c r="R342" s="10" t="n">
        <v>0</v>
      </c>
      <c r="S342" s="10" t="n">
        <v>0</v>
      </c>
      <c r="T342" s="7"/>
      <c r="U342" s="7"/>
      <c r="V342" s="7"/>
      <c r="W342" s="7" t="s">
        <v>43</v>
      </c>
      <c r="X342" s="7"/>
      <c r="Y342" s="7" t="s">
        <v>37</v>
      </c>
      <c r="Z342" s="7" t="s">
        <v>1297</v>
      </c>
      <c r="AA342" s="7"/>
      <c r="AB342" s="10" t="n">
        <v>580000</v>
      </c>
      <c r="AC342" s="10" t="n">
        <v>1</v>
      </c>
    </row>
    <row r="343" customFormat="false" ht="15.75" hidden="true" customHeight="true" outlineLevel="0" collapsed="false">
      <c r="A343" s="6"/>
      <c r="B343" s="7" t="s">
        <v>1051</v>
      </c>
      <c r="C343" s="7" t="s">
        <v>31</v>
      </c>
      <c r="D343" s="7" t="s">
        <v>32</v>
      </c>
      <c r="E343" s="7" t="s">
        <v>1298</v>
      </c>
      <c r="F343" s="8" t="s">
        <v>1299</v>
      </c>
      <c r="G343" s="9" t="n">
        <f aca="false">DATE(2000+VALUE(MID(F343,7,2)),VALUE(MID(F343,4,2)),VALUE(LEFT(F343,2)))</f>
        <v>45493</v>
      </c>
      <c r="H343" s="8" t="s">
        <v>1300</v>
      </c>
      <c r="I343" s="9" t="n">
        <f aca="false">DATE(2000+VALUE(MID(H343,7,2)),VALUE(MID(H343,4,2)),VALUE(LEFT(H343,2)))</f>
        <v>45494</v>
      </c>
      <c r="J343" s="9"/>
      <c r="K343" s="10" t="n">
        <v>549850</v>
      </c>
      <c r="L343" s="10" t="n">
        <v>0</v>
      </c>
      <c r="M343" s="10" t="n">
        <v>549850</v>
      </c>
      <c r="N343" s="10" t="n">
        <v>0</v>
      </c>
      <c r="O343" s="10" t="n">
        <v>0</v>
      </c>
      <c r="P343" s="10" t="n">
        <v>0</v>
      </c>
      <c r="Q343" s="10" t="n">
        <v>0</v>
      </c>
      <c r="R343" s="10" t="n">
        <v>549850</v>
      </c>
      <c r="S343" s="10" t="n">
        <v>0</v>
      </c>
      <c r="T343" s="7"/>
      <c r="U343" s="7"/>
      <c r="V343" s="7"/>
      <c r="W343" s="7" t="s">
        <v>49</v>
      </c>
      <c r="X343" s="7"/>
      <c r="Y343" s="7" t="s">
        <v>37</v>
      </c>
      <c r="Z343" s="7" t="s">
        <v>1301</v>
      </c>
      <c r="AA343" s="7" t="s">
        <v>1302</v>
      </c>
      <c r="AB343" s="10" t="n">
        <v>549850</v>
      </c>
      <c r="AC343" s="10" t="n">
        <v>1</v>
      </c>
    </row>
    <row r="344" customFormat="false" ht="15.75" hidden="true" customHeight="true" outlineLevel="0" collapsed="false">
      <c r="A344" s="6"/>
      <c r="B344" s="7" t="s">
        <v>1066</v>
      </c>
      <c r="C344" s="7" t="s">
        <v>71</v>
      </c>
      <c r="D344" s="7" t="s">
        <v>92</v>
      </c>
      <c r="E344" s="7" t="s">
        <v>1303</v>
      </c>
      <c r="F344" s="8" t="s">
        <v>1304</v>
      </c>
      <c r="G344" s="9" t="n">
        <f aca="false">DATE(2000+VALUE(MID(F344,7,2)),VALUE(MID(F344,4,2)),VALUE(LEFT(F344,2)))</f>
        <v>45493</v>
      </c>
      <c r="H344" s="8" t="s">
        <v>1305</v>
      </c>
      <c r="I344" s="9" t="n">
        <f aca="false">DATE(2000+VALUE(MID(H344,7,2)),VALUE(MID(H344,4,2)),VALUE(LEFT(H344,2)))</f>
        <v>45494</v>
      </c>
      <c r="J344" s="9"/>
      <c r="K344" s="10" t="n">
        <v>585000</v>
      </c>
      <c r="L344" s="10" t="n">
        <v>0</v>
      </c>
      <c r="M344" s="10" t="n">
        <v>585000</v>
      </c>
      <c r="N344" s="10" t="n">
        <v>0</v>
      </c>
      <c r="O344" s="10" t="n">
        <v>0</v>
      </c>
      <c r="P344" s="10" t="n">
        <v>0</v>
      </c>
      <c r="Q344" s="10" t="n">
        <v>585000</v>
      </c>
      <c r="R344" s="10" t="n">
        <v>0</v>
      </c>
      <c r="S344" s="10" t="n">
        <v>0</v>
      </c>
      <c r="T344" s="7"/>
      <c r="U344" s="7"/>
      <c r="V344" s="7"/>
      <c r="W344" s="7" t="s">
        <v>36</v>
      </c>
      <c r="X344" s="7"/>
      <c r="Y344" s="7" t="s">
        <v>37</v>
      </c>
      <c r="Z344" s="7" t="s">
        <v>1306</v>
      </c>
      <c r="AA344" s="7"/>
      <c r="AB344" s="10" t="n">
        <v>585000</v>
      </c>
      <c r="AC344" s="10" t="n">
        <v>1</v>
      </c>
    </row>
    <row r="345" customFormat="false" ht="15.75" hidden="true" customHeight="true" outlineLevel="0" collapsed="false">
      <c r="A345" s="6"/>
      <c r="B345" s="7" t="s">
        <v>1055</v>
      </c>
      <c r="C345" s="7" t="s">
        <v>65</v>
      </c>
      <c r="D345" s="7" t="s">
        <v>156</v>
      </c>
      <c r="E345" s="7" t="s">
        <v>1307</v>
      </c>
      <c r="F345" s="8" t="s">
        <v>1308</v>
      </c>
      <c r="G345" s="9" t="n">
        <f aca="false">DATE(2000+VALUE(MID(F345,7,2)),VALUE(MID(F345,4,2)),VALUE(LEFT(F345,2)))</f>
        <v>45493</v>
      </c>
      <c r="H345" s="8" t="s">
        <v>1309</v>
      </c>
      <c r="I345" s="9" t="n">
        <f aca="false">DATE(2000+VALUE(MID(H345,7,2)),VALUE(MID(H345,4,2)),VALUE(LEFT(H345,2)))</f>
        <v>45494</v>
      </c>
      <c r="J345" s="9"/>
      <c r="K345" s="10" t="n">
        <v>830000</v>
      </c>
      <c r="L345" s="10" t="n">
        <v>0</v>
      </c>
      <c r="M345" s="10" t="n">
        <v>830000</v>
      </c>
      <c r="N345" s="10" t="n">
        <v>0</v>
      </c>
      <c r="O345" s="10" t="n">
        <v>530000</v>
      </c>
      <c r="P345" s="10" t="n">
        <v>0</v>
      </c>
      <c r="Q345" s="10" t="n">
        <v>300000</v>
      </c>
      <c r="R345" s="10" t="n">
        <v>0</v>
      </c>
      <c r="S345" s="10" t="n">
        <v>0</v>
      </c>
      <c r="T345" s="7"/>
      <c r="U345" s="7"/>
      <c r="V345" s="7"/>
      <c r="W345" s="7" t="s">
        <v>43</v>
      </c>
      <c r="X345" s="7"/>
      <c r="Y345" s="7" t="s">
        <v>37</v>
      </c>
      <c r="Z345" s="7" t="s">
        <v>1310</v>
      </c>
      <c r="AA345" s="7"/>
      <c r="AB345" s="10" t="n">
        <v>830000</v>
      </c>
      <c r="AC345" s="10" t="n">
        <v>1</v>
      </c>
    </row>
    <row r="346" customFormat="false" ht="15.75" hidden="true" customHeight="true" outlineLevel="0" collapsed="false">
      <c r="A346" s="6"/>
      <c r="B346" s="7" t="s">
        <v>1311</v>
      </c>
      <c r="C346" s="7" t="s">
        <v>60</v>
      </c>
      <c r="D346" s="7" t="s">
        <v>61</v>
      </c>
      <c r="E346" s="7" t="s">
        <v>543</v>
      </c>
      <c r="F346" s="8" t="s">
        <v>1312</v>
      </c>
      <c r="G346" s="9" t="n">
        <f aca="false">DATE(2000+VALUE(MID(F346,7,2)),VALUE(MID(F346,4,2)),VALUE(LEFT(F346,2)))</f>
        <v>45493</v>
      </c>
      <c r="H346" s="8" t="s">
        <v>1313</v>
      </c>
      <c r="I346" s="9" t="n">
        <f aca="false">DATE(2000+VALUE(MID(H346,7,2)),VALUE(MID(H346,4,2)),VALUE(LEFT(H346,2)))</f>
        <v>45494</v>
      </c>
      <c r="J346" s="9"/>
      <c r="K346" s="10" t="n">
        <v>1583280</v>
      </c>
      <c r="L346" s="10" t="n">
        <v>0</v>
      </c>
      <c r="M346" s="10" t="n">
        <v>1583280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1583280</v>
      </c>
      <c r="S346" s="10" t="n">
        <v>0</v>
      </c>
      <c r="T346" s="7"/>
      <c r="U346" s="7"/>
      <c r="V346" s="7"/>
      <c r="W346" s="7" t="s">
        <v>49</v>
      </c>
      <c r="X346" s="7"/>
      <c r="Y346" s="7" t="s">
        <v>37</v>
      </c>
      <c r="Z346" s="7" t="s">
        <v>1258</v>
      </c>
      <c r="AA346" s="7" t="s">
        <v>1314</v>
      </c>
      <c r="AB346" s="10" t="n">
        <v>1583280</v>
      </c>
      <c r="AC346" s="10" t="n">
        <v>1</v>
      </c>
    </row>
    <row r="347" customFormat="false" ht="15.75" hidden="true" customHeight="true" outlineLevel="0" collapsed="false">
      <c r="A347" s="6"/>
      <c r="B347" s="7" t="s">
        <v>1071</v>
      </c>
      <c r="C347" s="7" t="s">
        <v>65</v>
      </c>
      <c r="D347" s="7" t="s">
        <v>76</v>
      </c>
      <c r="E347" s="7" t="s">
        <v>1315</v>
      </c>
      <c r="F347" s="8" t="s">
        <v>1316</v>
      </c>
      <c r="G347" s="9" t="n">
        <f aca="false">DATE(2000+VALUE(MID(F347,7,2)),VALUE(MID(F347,4,2)),VALUE(LEFT(F347,2)))</f>
        <v>45492</v>
      </c>
      <c r="H347" s="8" t="s">
        <v>1317</v>
      </c>
      <c r="I347" s="9" t="n">
        <f aca="false">DATE(2000+VALUE(MID(H347,7,2)),VALUE(MID(H347,4,2)),VALUE(LEFT(H347,2)))</f>
        <v>45495</v>
      </c>
      <c r="J347" s="9"/>
      <c r="K347" s="10" t="n">
        <v>1500000</v>
      </c>
      <c r="L347" s="10" t="n">
        <v>0</v>
      </c>
      <c r="M347" s="10" t="n">
        <v>1500000</v>
      </c>
      <c r="N347" s="10" t="n">
        <v>0</v>
      </c>
      <c r="O347" s="10" t="n">
        <v>0</v>
      </c>
      <c r="P347" s="10" t="n">
        <v>0</v>
      </c>
      <c r="Q347" s="10" t="n">
        <v>1500000</v>
      </c>
      <c r="R347" s="10" t="n">
        <v>0</v>
      </c>
      <c r="S347" s="10" t="n">
        <v>0</v>
      </c>
      <c r="T347" s="7"/>
      <c r="U347" s="7"/>
      <c r="V347" s="7"/>
      <c r="W347" s="7" t="s">
        <v>43</v>
      </c>
      <c r="X347" s="7"/>
      <c r="Y347" s="7" t="s">
        <v>37</v>
      </c>
      <c r="Z347" s="7" t="s">
        <v>1318</v>
      </c>
      <c r="AA347" s="7"/>
      <c r="AB347" s="10" t="n">
        <v>500000</v>
      </c>
      <c r="AC347" s="10" t="n">
        <v>3</v>
      </c>
    </row>
    <row r="348" customFormat="false" ht="15.75" hidden="true" customHeight="true" outlineLevel="0" collapsed="false">
      <c r="A348" s="6"/>
      <c r="B348" s="7" t="s">
        <v>591</v>
      </c>
      <c r="C348" s="7" t="s">
        <v>65</v>
      </c>
      <c r="D348" s="7" t="s">
        <v>66</v>
      </c>
      <c r="E348" s="7" t="s">
        <v>1319</v>
      </c>
      <c r="F348" s="8" t="s">
        <v>1320</v>
      </c>
      <c r="G348" s="9" t="n">
        <f aca="false">DATE(2000+VALUE(MID(F348,7,2)),VALUE(MID(F348,4,2)),VALUE(LEFT(F348,2)))</f>
        <v>45491</v>
      </c>
      <c r="H348" s="8" t="s">
        <v>1321</v>
      </c>
      <c r="I348" s="9" t="n">
        <f aca="false">DATE(2000+VALUE(MID(H348,7,2)),VALUE(MID(H348,4,2)),VALUE(LEFT(H348,2)))</f>
        <v>45495</v>
      </c>
      <c r="J348" s="9"/>
      <c r="K348" s="10" t="n">
        <v>1941120</v>
      </c>
      <c r="L348" s="10" t="n">
        <v>0</v>
      </c>
      <c r="M348" s="10" t="n">
        <v>1941120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1941120</v>
      </c>
      <c r="S348" s="10" t="n">
        <v>0</v>
      </c>
      <c r="T348" s="7"/>
      <c r="U348" s="7"/>
      <c r="V348" s="7"/>
      <c r="W348" s="7" t="s">
        <v>49</v>
      </c>
      <c r="X348" s="7"/>
      <c r="Y348" s="7" t="s">
        <v>37</v>
      </c>
      <c r="Z348" s="7" t="s">
        <v>819</v>
      </c>
      <c r="AA348" s="7" t="s">
        <v>1322</v>
      </c>
      <c r="AB348" s="10" t="n">
        <v>485280</v>
      </c>
      <c r="AC348" s="10" t="n">
        <v>4</v>
      </c>
    </row>
    <row r="349" customFormat="false" ht="15.75" hidden="true" customHeight="true" outlineLevel="0" collapsed="false">
      <c r="A349" s="6"/>
      <c r="B349" s="7" t="s">
        <v>1323</v>
      </c>
      <c r="C349" s="7" t="s">
        <v>65</v>
      </c>
      <c r="D349" s="7" t="s">
        <v>87</v>
      </c>
      <c r="E349" s="7" t="s">
        <v>1324</v>
      </c>
      <c r="F349" s="8" t="s">
        <v>1325</v>
      </c>
      <c r="G349" s="9" t="n">
        <f aca="false">DATE(2000+VALUE(MID(F349,7,2)),VALUE(MID(F349,4,2)),VALUE(LEFT(F349,2)))</f>
        <v>45492</v>
      </c>
      <c r="H349" s="8" t="s">
        <v>1321</v>
      </c>
      <c r="I349" s="9" t="n">
        <f aca="false">DATE(2000+VALUE(MID(H349,7,2)),VALUE(MID(H349,4,2)),VALUE(LEFT(H349,2)))</f>
        <v>45495</v>
      </c>
      <c r="J349" s="9"/>
      <c r="K349" s="10" t="n">
        <v>1592800</v>
      </c>
      <c r="L349" s="10" t="n">
        <v>0</v>
      </c>
      <c r="M349" s="10" t="n">
        <v>1483000</v>
      </c>
      <c r="N349" s="10" t="n">
        <v>0</v>
      </c>
      <c r="O349" s="10" t="n">
        <v>0</v>
      </c>
      <c r="P349" s="10" t="n">
        <v>0</v>
      </c>
      <c r="Q349" s="10" t="n">
        <v>1483000</v>
      </c>
      <c r="R349" s="10" t="n">
        <v>0</v>
      </c>
      <c r="S349" s="10" t="n">
        <v>0</v>
      </c>
      <c r="T349" s="7"/>
      <c r="U349" s="7"/>
      <c r="V349" s="7"/>
      <c r="W349" s="7" t="s">
        <v>43</v>
      </c>
      <c r="X349" s="7"/>
      <c r="Y349" s="7" t="s">
        <v>37</v>
      </c>
      <c r="Z349" s="7" t="s">
        <v>1323</v>
      </c>
      <c r="AA349" s="7" t="s">
        <v>1326</v>
      </c>
      <c r="AB349" s="10" t="n">
        <v>530933.3333</v>
      </c>
      <c r="AC349" s="10" t="n">
        <v>3</v>
      </c>
    </row>
    <row r="350" customFormat="false" ht="15.75" hidden="true" customHeight="true" outlineLevel="0" collapsed="false">
      <c r="A350" s="6"/>
      <c r="B350" s="7" t="s">
        <v>1034</v>
      </c>
      <c r="C350" s="7" t="s">
        <v>60</v>
      </c>
      <c r="D350" s="7" t="s">
        <v>116</v>
      </c>
      <c r="E350" s="7" t="s">
        <v>233</v>
      </c>
      <c r="F350" s="8" t="s">
        <v>1327</v>
      </c>
      <c r="G350" s="9" t="n">
        <f aca="false">DATE(2000+VALUE(MID(F350,7,2)),VALUE(MID(F350,4,2)),VALUE(LEFT(F350,2)))</f>
        <v>45492</v>
      </c>
      <c r="H350" s="8" t="s">
        <v>1328</v>
      </c>
      <c r="I350" s="9" t="n">
        <f aca="false">DATE(2000+VALUE(MID(H350,7,2)),VALUE(MID(H350,4,2)),VALUE(LEFT(H350,2)))</f>
        <v>45495</v>
      </c>
      <c r="J350" s="9"/>
      <c r="K350" s="10" t="n">
        <v>1755000</v>
      </c>
      <c r="L350" s="10" t="n">
        <v>0</v>
      </c>
      <c r="M350" s="10" t="n">
        <v>1755000</v>
      </c>
      <c r="N350" s="10" t="n">
        <v>0</v>
      </c>
      <c r="O350" s="10" t="n">
        <v>1755000</v>
      </c>
      <c r="P350" s="10" t="n">
        <v>0</v>
      </c>
      <c r="Q350" s="10" t="n">
        <v>0</v>
      </c>
      <c r="R350" s="10" t="n">
        <v>0</v>
      </c>
      <c r="S350" s="10" t="n">
        <v>0</v>
      </c>
      <c r="T350" s="7"/>
      <c r="U350" s="7"/>
      <c r="V350" s="7"/>
      <c r="W350" s="7" t="s">
        <v>43</v>
      </c>
      <c r="X350" s="7"/>
      <c r="Y350" s="7" t="s">
        <v>37</v>
      </c>
      <c r="Z350" s="7" t="s">
        <v>1329</v>
      </c>
      <c r="AA350" s="7"/>
      <c r="AB350" s="10" t="n">
        <v>585000</v>
      </c>
      <c r="AC350" s="10" t="n">
        <v>3</v>
      </c>
    </row>
    <row r="351" customFormat="false" ht="15.75" hidden="true" customHeight="true" outlineLevel="0" collapsed="false">
      <c r="A351" s="6"/>
      <c r="B351" s="7" t="s">
        <v>1082</v>
      </c>
      <c r="C351" s="7" t="s">
        <v>71</v>
      </c>
      <c r="D351" s="7" t="s">
        <v>914</v>
      </c>
      <c r="E351" s="7" t="s">
        <v>1255</v>
      </c>
      <c r="F351" s="8" t="s">
        <v>1330</v>
      </c>
      <c r="G351" s="9" t="n">
        <f aca="false">DATE(2000+VALUE(MID(F351,7,2)),VALUE(MID(F351,4,2)),VALUE(LEFT(F351,2)))</f>
        <v>45494</v>
      </c>
      <c r="H351" s="8" t="s">
        <v>1331</v>
      </c>
      <c r="I351" s="9" t="n">
        <f aca="false">DATE(2000+VALUE(MID(H351,7,2)),VALUE(MID(H351,4,2)),VALUE(LEFT(H351,2)))</f>
        <v>45495</v>
      </c>
      <c r="J351" s="9"/>
      <c r="K351" s="10" t="n">
        <v>629000</v>
      </c>
      <c r="L351" s="10" t="n">
        <v>25000</v>
      </c>
      <c r="M351" s="10" t="n">
        <v>654000</v>
      </c>
      <c r="N351" s="10" t="n">
        <v>0</v>
      </c>
      <c r="O351" s="10" t="n">
        <v>0</v>
      </c>
      <c r="P351" s="10" t="n">
        <v>0</v>
      </c>
      <c r="Q351" s="10" t="n">
        <v>654000</v>
      </c>
      <c r="R351" s="10" t="n">
        <v>0</v>
      </c>
      <c r="S351" s="10" t="n">
        <v>0</v>
      </c>
      <c r="T351" s="7"/>
      <c r="U351" s="7"/>
      <c r="V351" s="7"/>
      <c r="W351" s="7" t="s">
        <v>43</v>
      </c>
      <c r="X351" s="7"/>
      <c r="Y351" s="7" t="s">
        <v>37</v>
      </c>
      <c r="Z351" s="7" t="s">
        <v>1332</v>
      </c>
      <c r="AA351" s="7"/>
      <c r="AB351" s="10" t="n">
        <v>629000</v>
      </c>
      <c r="AC351" s="10" t="n">
        <v>1</v>
      </c>
    </row>
    <row r="352" customFormat="false" ht="15.75" hidden="true" customHeight="true" outlineLevel="0" collapsed="false">
      <c r="A352" s="6"/>
      <c r="B352" s="7" t="s">
        <v>882</v>
      </c>
      <c r="C352" s="7" t="s">
        <v>65</v>
      </c>
      <c r="D352" s="7" t="s">
        <v>96</v>
      </c>
      <c r="E352" s="7" t="s">
        <v>1333</v>
      </c>
      <c r="F352" s="8" t="s">
        <v>1334</v>
      </c>
      <c r="G352" s="9" t="n">
        <f aca="false">DATE(2000+VALUE(MID(F352,7,2)),VALUE(MID(F352,4,2)),VALUE(LEFT(F352,2)))</f>
        <v>45491</v>
      </c>
      <c r="H352" s="8" t="s">
        <v>1335</v>
      </c>
      <c r="I352" s="9" t="n">
        <f aca="false">DATE(2000+VALUE(MID(H352,7,2)),VALUE(MID(H352,4,2)),VALUE(LEFT(H352,2)))</f>
        <v>45495</v>
      </c>
      <c r="J352" s="9"/>
      <c r="K352" s="10" t="n">
        <v>1800000</v>
      </c>
      <c r="L352" s="10" t="n">
        <v>0</v>
      </c>
      <c r="M352" s="10" t="n">
        <v>1800000</v>
      </c>
      <c r="N352" s="10" t="n">
        <v>0</v>
      </c>
      <c r="O352" s="10" t="n">
        <v>1800000</v>
      </c>
      <c r="P352" s="10" t="n">
        <v>0</v>
      </c>
      <c r="Q352" s="10" t="n">
        <v>0</v>
      </c>
      <c r="R352" s="10" t="n">
        <v>0</v>
      </c>
      <c r="S352" s="10" t="n">
        <v>0</v>
      </c>
      <c r="T352" s="7"/>
      <c r="U352" s="7"/>
      <c r="V352" s="7"/>
      <c r="W352" s="7" t="s">
        <v>43</v>
      </c>
      <c r="X352" s="7"/>
      <c r="Y352" s="7" t="s">
        <v>37</v>
      </c>
      <c r="Z352" s="7" t="s">
        <v>1336</v>
      </c>
      <c r="AA352" s="7"/>
      <c r="AB352" s="10" t="n">
        <v>450000</v>
      </c>
      <c r="AC352" s="10" t="n">
        <v>4</v>
      </c>
    </row>
    <row r="353" customFormat="false" ht="15.75" hidden="true" customHeight="true" outlineLevel="0" collapsed="false">
      <c r="A353" s="6"/>
      <c r="B353" s="7" t="s">
        <v>882</v>
      </c>
      <c r="C353" s="7" t="s">
        <v>60</v>
      </c>
      <c r="D353" s="7" t="s">
        <v>164</v>
      </c>
      <c r="E353" s="7" t="s">
        <v>202</v>
      </c>
      <c r="F353" s="8" t="s">
        <v>1334</v>
      </c>
      <c r="G353" s="9" t="n">
        <f aca="false">DATE(2000+VALUE(MID(F353,7,2)),VALUE(MID(F353,4,2)),VALUE(LEFT(F353,2)))</f>
        <v>45491</v>
      </c>
      <c r="H353" s="8" t="s">
        <v>1335</v>
      </c>
      <c r="I353" s="9" t="n">
        <f aca="false">DATE(2000+VALUE(MID(H353,7,2)),VALUE(MID(H353,4,2)),VALUE(LEFT(H353,2)))</f>
        <v>45495</v>
      </c>
      <c r="J353" s="9"/>
      <c r="K353" s="10" t="n">
        <v>2140000</v>
      </c>
      <c r="L353" s="10" t="n">
        <v>0</v>
      </c>
      <c r="M353" s="10" t="n">
        <v>2140000</v>
      </c>
      <c r="N353" s="10" t="n">
        <v>0</v>
      </c>
      <c r="O353" s="10" t="n">
        <v>2140000</v>
      </c>
      <c r="P353" s="10" t="n">
        <v>0</v>
      </c>
      <c r="Q353" s="10" t="n">
        <v>0</v>
      </c>
      <c r="R353" s="10" t="n">
        <v>0</v>
      </c>
      <c r="S353" s="10" t="n">
        <v>0</v>
      </c>
      <c r="T353" s="7"/>
      <c r="U353" s="7"/>
      <c r="V353" s="7"/>
      <c r="W353" s="7" t="s">
        <v>43</v>
      </c>
      <c r="X353" s="7"/>
      <c r="Y353" s="7" t="s">
        <v>37</v>
      </c>
      <c r="Z353" s="7" t="s">
        <v>1337</v>
      </c>
      <c r="AA353" s="7"/>
      <c r="AB353" s="10" t="n">
        <v>535000</v>
      </c>
      <c r="AC353" s="10" t="n">
        <v>4</v>
      </c>
    </row>
    <row r="354" customFormat="false" ht="15.75" hidden="true" customHeight="true" outlineLevel="0" collapsed="false">
      <c r="A354" s="6"/>
      <c r="B354" s="7" t="s">
        <v>1076</v>
      </c>
      <c r="C354" s="7" t="s">
        <v>31</v>
      </c>
      <c r="D354" s="7" t="s">
        <v>45</v>
      </c>
      <c r="E354" s="7" t="s">
        <v>1338</v>
      </c>
      <c r="F354" s="8" t="s">
        <v>1339</v>
      </c>
      <c r="G354" s="9" t="n">
        <f aca="false">DATE(2000+VALUE(MID(F354,7,2)),VALUE(MID(F354,4,2)),VALUE(LEFT(F354,2)))</f>
        <v>45494</v>
      </c>
      <c r="H354" s="8" t="s">
        <v>1340</v>
      </c>
      <c r="I354" s="9" t="n">
        <f aca="false">DATE(2000+VALUE(MID(H354,7,2)),VALUE(MID(H354,4,2)),VALUE(LEFT(H354,2)))</f>
        <v>45495</v>
      </c>
      <c r="J354" s="9"/>
      <c r="K354" s="10" t="n">
        <v>800000</v>
      </c>
      <c r="L354" s="10" t="n">
        <v>50000</v>
      </c>
      <c r="M354" s="10" t="n">
        <v>850000</v>
      </c>
      <c r="N354" s="10" t="n">
        <v>0</v>
      </c>
      <c r="O354" s="10" t="n">
        <v>850000</v>
      </c>
      <c r="P354" s="10" t="n">
        <v>0</v>
      </c>
      <c r="Q354" s="10" t="n">
        <v>0</v>
      </c>
      <c r="R354" s="10" t="n">
        <v>0</v>
      </c>
      <c r="S354" s="10" t="n">
        <v>0</v>
      </c>
      <c r="T354" s="7"/>
      <c r="U354" s="7"/>
      <c r="V354" s="7"/>
      <c r="W354" s="7" t="s">
        <v>43</v>
      </c>
      <c r="X354" s="7"/>
      <c r="Y354" s="7" t="s">
        <v>37</v>
      </c>
      <c r="Z354" s="7" t="s">
        <v>1341</v>
      </c>
      <c r="AA354" s="7"/>
      <c r="AB354" s="10" t="n">
        <v>800000</v>
      </c>
      <c r="AC354" s="10" t="n">
        <v>1</v>
      </c>
    </row>
    <row r="355" customFormat="false" ht="15.75" hidden="true" customHeight="true" outlineLevel="0" collapsed="false">
      <c r="A355" s="6"/>
      <c r="B355" s="7" t="s">
        <v>949</v>
      </c>
      <c r="C355" s="7" t="s">
        <v>31</v>
      </c>
      <c r="D355" s="7" t="s">
        <v>440</v>
      </c>
      <c r="E355" s="7" t="s">
        <v>1086</v>
      </c>
      <c r="F355" s="8" t="s">
        <v>1342</v>
      </c>
      <c r="G355" s="9" t="n">
        <f aca="false">DATE(2000+VALUE(MID(F355,7,2)),VALUE(MID(F355,4,2)),VALUE(LEFT(F355,2)))</f>
        <v>45486</v>
      </c>
      <c r="H355" s="8" t="s">
        <v>1343</v>
      </c>
      <c r="I355" s="9" t="n">
        <f aca="false">DATE(2000+VALUE(MID(H355,7,2)),VALUE(MID(H355,4,2)),VALUE(LEFT(H355,2)))</f>
        <v>45495</v>
      </c>
      <c r="J355" s="9"/>
      <c r="K355" s="10" t="n">
        <v>3500000</v>
      </c>
      <c r="L355" s="10" t="n">
        <v>0</v>
      </c>
      <c r="M355" s="10" t="n">
        <v>3500000</v>
      </c>
      <c r="N355" s="10" t="n">
        <v>0</v>
      </c>
      <c r="O355" s="10" t="n">
        <v>0</v>
      </c>
      <c r="P355" s="10" t="n">
        <v>0</v>
      </c>
      <c r="Q355" s="10" t="n">
        <v>0</v>
      </c>
      <c r="R355" s="10" t="n">
        <v>3500000</v>
      </c>
      <c r="S355" s="10" t="n">
        <v>0</v>
      </c>
      <c r="T355" s="7"/>
      <c r="U355" s="7"/>
      <c r="V355" s="7"/>
      <c r="W355" s="7" t="s">
        <v>36</v>
      </c>
      <c r="X355" s="7"/>
      <c r="Y355" s="7" t="s">
        <v>37</v>
      </c>
      <c r="Z355" s="7" t="s">
        <v>1344</v>
      </c>
      <c r="AA355" s="7"/>
      <c r="AB355" s="10" t="n">
        <v>388888.8888</v>
      </c>
      <c r="AC355" s="10" t="n">
        <v>9</v>
      </c>
    </row>
    <row r="356" customFormat="false" ht="15.75" hidden="true" customHeight="true" outlineLevel="0" collapsed="false">
      <c r="A356" s="6"/>
      <c r="B356" s="7" t="s">
        <v>1345</v>
      </c>
      <c r="C356" s="7" t="s">
        <v>60</v>
      </c>
      <c r="D356" s="7" t="s">
        <v>173</v>
      </c>
      <c r="E356" s="7" t="s">
        <v>1346</v>
      </c>
      <c r="F356" s="8" t="s">
        <v>1347</v>
      </c>
      <c r="G356" s="9" t="n">
        <f aca="false">DATE(2000+VALUE(MID(F356,7,2)),VALUE(MID(F356,4,2)),VALUE(LEFT(F356,2)))</f>
        <v>45493</v>
      </c>
      <c r="H356" s="8" t="s">
        <v>1343</v>
      </c>
      <c r="I356" s="9" t="n">
        <f aca="false">DATE(2000+VALUE(MID(H356,7,2)),VALUE(MID(H356,4,2)),VALUE(LEFT(H356,2)))</f>
        <v>45495</v>
      </c>
      <c r="J356" s="9"/>
      <c r="K356" s="10" t="n">
        <v>1165000</v>
      </c>
      <c r="L356" s="10" t="n">
        <v>0</v>
      </c>
      <c r="M356" s="10" t="n">
        <v>1165000</v>
      </c>
      <c r="N356" s="10" t="n">
        <v>0</v>
      </c>
      <c r="O356" s="10" t="n">
        <v>85000</v>
      </c>
      <c r="P356" s="10" t="n">
        <v>0</v>
      </c>
      <c r="Q356" s="10" t="n">
        <v>1080000</v>
      </c>
      <c r="R356" s="10" t="n">
        <v>0</v>
      </c>
      <c r="S356" s="10" t="n">
        <v>0</v>
      </c>
      <c r="T356" s="7"/>
      <c r="U356" s="7"/>
      <c r="V356" s="7"/>
      <c r="W356" s="7" t="s">
        <v>36</v>
      </c>
      <c r="X356" s="7"/>
      <c r="Y356" s="7" t="s">
        <v>37</v>
      </c>
      <c r="Z356" s="7" t="s">
        <v>1348</v>
      </c>
      <c r="AA356" s="7"/>
      <c r="AB356" s="10" t="n">
        <v>582500</v>
      </c>
      <c r="AC356" s="10" t="n">
        <v>2</v>
      </c>
    </row>
    <row r="357" customFormat="false" ht="15.75" hidden="true" customHeight="true" outlineLevel="0" collapsed="false">
      <c r="A357" s="6"/>
      <c r="B357" s="7" t="s">
        <v>1349</v>
      </c>
      <c r="C357" s="7" t="s">
        <v>31</v>
      </c>
      <c r="D357" s="7" t="s">
        <v>105</v>
      </c>
      <c r="E357" s="7" t="s">
        <v>1350</v>
      </c>
      <c r="F357" s="8" t="s">
        <v>1351</v>
      </c>
      <c r="G357" s="9" t="n">
        <f aca="false">DATE(2000+VALUE(MID(F357,7,2)),VALUE(MID(F357,4,2)),VALUE(LEFT(F357,2)))</f>
        <v>45493</v>
      </c>
      <c r="H357" s="8" t="s">
        <v>1343</v>
      </c>
      <c r="I357" s="9" t="n">
        <f aca="false">DATE(2000+VALUE(MID(H357,7,2)),VALUE(MID(H357,4,2)),VALUE(LEFT(H357,2)))</f>
        <v>45495</v>
      </c>
      <c r="J357" s="9"/>
      <c r="K357" s="10" t="n">
        <v>1603440</v>
      </c>
      <c r="L357" s="10" t="n">
        <v>0</v>
      </c>
      <c r="M357" s="10" t="n">
        <v>1603440</v>
      </c>
      <c r="N357" s="10" t="n">
        <v>0</v>
      </c>
      <c r="O357" s="10" t="n">
        <v>0</v>
      </c>
      <c r="P357" s="10" t="n">
        <v>0</v>
      </c>
      <c r="Q357" s="10" t="n">
        <v>0</v>
      </c>
      <c r="R357" s="10" t="n">
        <v>1603440</v>
      </c>
      <c r="S357" s="10" t="n">
        <v>0</v>
      </c>
      <c r="T357" s="7"/>
      <c r="U357" s="7"/>
      <c r="V357" s="7"/>
      <c r="W357" s="7" t="s">
        <v>49</v>
      </c>
      <c r="X357" s="7"/>
      <c r="Y357" s="7" t="s">
        <v>37</v>
      </c>
      <c r="Z357" s="7" t="s">
        <v>1352</v>
      </c>
      <c r="AA357" s="7" t="s">
        <v>1353</v>
      </c>
      <c r="AB357" s="10" t="n">
        <v>801720</v>
      </c>
      <c r="AC357" s="10" t="n">
        <v>2</v>
      </c>
    </row>
    <row r="358" customFormat="false" ht="15.75" hidden="true" customHeight="true" outlineLevel="0" collapsed="false">
      <c r="A358" s="6"/>
      <c r="B358" s="7" t="s">
        <v>1043</v>
      </c>
      <c r="C358" s="7" t="s">
        <v>31</v>
      </c>
      <c r="D358" s="7" t="s">
        <v>337</v>
      </c>
      <c r="E358" s="7" t="s">
        <v>1354</v>
      </c>
      <c r="F358" s="8" t="s">
        <v>1355</v>
      </c>
      <c r="G358" s="9" t="n">
        <f aca="false">DATE(2000+VALUE(MID(F358,7,2)),VALUE(MID(F358,4,2)),VALUE(LEFT(F358,2)))</f>
        <v>45494</v>
      </c>
      <c r="H358" s="8" t="s">
        <v>1343</v>
      </c>
      <c r="I358" s="9" t="n">
        <f aca="false">DATE(2000+VALUE(MID(H358,7,2)),VALUE(MID(H358,4,2)),VALUE(LEFT(H358,2)))</f>
        <v>45495</v>
      </c>
      <c r="J358" s="9"/>
      <c r="K358" s="10" t="n">
        <v>495000</v>
      </c>
      <c r="L358" s="10" t="n">
        <v>0</v>
      </c>
      <c r="M358" s="10" t="n">
        <v>495000</v>
      </c>
      <c r="N358" s="10" t="n">
        <v>0</v>
      </c>
      <c r="O358" s="10" t="n">
        <v>0</v>
      </c>
      <c r="P358" s="10" t="n">
        <v>0</v>
      </c>
      <c r="Q358" s="10" t="n">
        <v>495000</v>
      </c>
      <c r="R358" s="10" t="n">
        <v>0</v>
      </c>
      <c r="S358" s="10" t="n">
        <v>0</v>
      </c>
      <c r="T358" s="7"/>
      <c r="U358" s="7"/>
      <c r="V358" s="7"/>
      <c r="W358" s="7" t="s">
        <v>43</v>
      </c>
      <c r="X358" s="7"/>
      <c r="Y358" s="7" t="s">
        <v>37</v>
      </c>
      <c r="Z358" s="7" t="s">
        <v>1356</v>
      </c>
      <c r="AA358" s="7"/>
      <c r="AB358" s="10" t="n">
        <v>495000</v>
      </c>
      <c r="AC358" s="10" t="n">
        <v>1</v>
      </c>
    </row>
    <row r="359" customFormat="false" ht="15.75" hidden="true" customHeight="true" outlineLevel="0" collapsed="false">
      <c r="A359" s="6"/>
      <c r="B359" s="7" t="s">
        <v>1182</v>
      </c>
      <c r="C359" s="7" t="s">
        <v>31</v>
      </c>
      <c r="D359" s="7" t="s">
        <v>32</v>
      </c>
      <c r="E359" s="7" t="s">
        <v>1357</v>
      </c>
      <c r="F359" s="8" t="s">
        <v>1358</v>
      </c>
      <c r="G359" s="9" t="n">
        <f aca="false">DATE(2000+VALUE(MID(F359,7,2)),VALUE(MID(F359,4,2)),VALUE(LEFT(F359,2)))</f>
        <v>45494</v>
      </c>
      <c r="H359" s="8" t="s">
        <v>1343</v>
      </c>
      <c r="I359" s="9" t="n">
        <f aca="false">DATE(2000+VALUE(MID(H359,7,2)),VALUE(MID(H359,4,2)),VALUE(LEFT(H359,2)))</f>
        <v>45495</v>
      </c>
      <c r="J359" s="9"/>
      <c r="K359" s="10" t="n">
        <v>566640</v>
      </c>
      <c r="L359" s="10" t="n">
        <v>0</v>
      </c>
      <c r="M359" s="10" t="n">
        <v>566640</v>
      </c>
      <c r="N359" s="10" t="n">
        <v>0</v>
      </c>
      <c r="O359" s="10" t="n">
        <v>0</v>
      </c>
      <c r="P359" s="10" t="n">
        <v>0</v>
      </c>
      <c r="Q359" s="10" t="n">
        <v>0</v>
      </c>
      <c r="R359" s="10" t="n">
        <v>566640</v>
      </c>
      <c r="S359" s="10" t="n">
        <v>0</v>
      </c>
      <c r="T359" s="7"/>
      <c r="U359" s="7"/>
      <c r="V359" s="7"/>
      <c r="W359" s="7" t="s">
        <v>49</v>
      </c>
      <c r="X359" s="7"/>
      <c r="Y359" s="7" t="s">
        <v>37</v>
      </c>
      <c r="Z359" s="7" t="s">
        <v>1359</v>
      </c>
      <c r="AA359" s="7" t="s">
        <v>1360</v>
      </c>
      <c r="AB359" s="10" t="n">
        <v>566640</v>
      </c>
      <c r="AC359" s="10" t="n">
        <v>1</v>
      </c>
    </row>
    <row r="360" customFormat="false" ht="15.75" hidden="true" customHeight="true" outlineLevel="0" collapsed="false">
      <c r="A360" s="6"/>
      <c r="B360" s="7" t="s">
        <v>1095</v>
      </c>
      <c r="C360" s="7" t="s">
        <v>71</v>
      </c>
      <c r="D360" s="7" t="s">
        <v>72</v>
      </c>
      <c r="E360" s="7" t="s">
        <v>1361</v>
      </c>
      <c r="F360" s="8" t="s">
        <v>1362</v>
      </c>
      <c r="G360" s="9" t="n">
        <f aca="false">DATE(2000+VALUE(MID(F360,7,2)),VALUE(MID(F360,4,2)),VALUE(LEFT(F360,2)))</f>
        <v>45493</v>
      </c>
      <c r="H360" s="8" t="s">
        <v>1343</v>
      </c>
      <c r="I360" s="9" t="n">
        <f aca="false">DATE(2000+VALUE(MID(H360,7,2)),VALUE(MID(H360,4,2)),VALUE(LEFT(H360,2)))</f>
        <v>45495</v>
      </c>
      <c r="J360" s="9"/>
      <c r="K360" s="10" t="n">
        <v>1095000</v>
      </c>
      <c r="L360" s="10" t="n">
        <v>0</v>
      </c>
      <c r="M360" s="10" t="n">
        <v>1095000</v>
      </c>
      <c r="N360" s="10" t="n">
        <v>0</v>
      </c>
      <c r="O360" s="10" t="n">
        <v>300000</v>
      </c>
      <c r="P360" s="10" t="n">
        <v>0</v>
      </c>
      <c r="Q360" s="10" t="n">
        <v>795000</v>
      </c>
      <c r="R360" s="10" t="n">
        <v>0</v>
      </c>
      <c r="S360" s="10" t="n">
        <v>0</v>
      </c>
      <c r="T360" s="7"/>
      <c r="U360" s="7"/>
      <c r="V360" s="7"/>
      <c r="W360" s="7" t="s">
        <v>43</v>
      </c>
      <c r="X360" s="7"/>
      <c r="Y360" s="7" t="s">
        <v>37</v>
      </c>
      <c r="Z360" s="7" t="s">
        <v>1363</v>
      </c>
      <c r="AA360" s="7"/>
      <c r="AB360" s="10" t="n">
        <v>547500</v>
      </c>
      <c r="AC360" s="10" t="n">
        <v>2</v>
      </c>
    </row>
    <row r="361" customFormat="false" ht="15.75" hidden="true" customHeight="true" outlineLevel="0" collapsed="false">
      <c r="A361" s="6"/>
      <c r="B361" s="7" t="s">
        <v>1337</v>
      </c>
      <c r="C361" s="7" t="s">
        <v>60</v>
      </c>
      <c r="D361" s="7" t="s">
        <v>173</v>
      </c>
      <c r="E361" s="7" t="s">
        <v>1346</v>
      </c>
      <c r="F361" s="8" t="s">
        <v>1364</v>
      </c>
      <c r="G361" s="9" t="n">
        <f aca="false">DATE(2000+VALUE(MID(F361,7,2)),VALUE(MID(F361,4,2)),VALUE(LEFT(F361,2)))</f>
        <v>45495</v>
      </c>
      <c r="H361" s="8" t="s">
        <v>1365</v>
      </c>
      <c r="I361" s="9" t="n">
        <f aca="false">DATE(2000+VALUE(MID(H361,7,2)),VALUE(MID(H361,4,2)),VALUE(LEFT(H361,2)))</f>
        <v>45496</v>
      </c>
      <c r="J361" s="9"/>
      <c r="K361" s="10" t="n">
        <v>580000</v>
      </c>
      <c r="L361" s="10" t="n">
        <v>0</v>
      </c>
      <c r="M361" s="10" t="n">
        <v>580000</v>
      </c>
      <c r="N361" s="10" t="n">
        <v>0</v>
      </c>
      <c r="O361" s="10" t="n">
        <v>0</v>
      </c>
      <c r="P361" s="10" t="n">
        <v>0</v>
      </c>
      <c r="Q361" s="10" t="n">
        <v>580000</v>
      </c>
      <c r="R361" s="10" t="n">
        <v>0</v>
      </c>
      <c r="S361" s="10" t="n">
        <v>0</v>
      </c>
      <c r="T361" s="7"/>
      <c r="U361" s="7"/>
      <c r="V361" s="7"/>
      <c r="W361" s="7" t="s">
        <v>36</v>
      </c>
      <c r="X361" s="7"/>
      <c r="Y361" s="7" t="s">
        <v>37</v>
      </c>
      <c r="Z361" s="7" t="s">
        <v>1366</v>
      </c>
      <c r="AA361" s="7"/>
      <c r="AB361" s="10" t="n">
        <v>580000</v>
      </c>
      <c r="AC361" s="10" t="n">
        <v>1</v>
      </c>
    </row>
    <row r="362" customFormat="false" ht="15.75" hidden="true" customHeight="true" outlineLevel="0" collapsed="false">
      <c r="A362" s="6"/>
      <c r="B362" s="7" t="s">
        <v>1336</v>
      </c>
      <c r="C362" s="7" t="s">
        <v>31</v>
      </c>
      <c r="D362" s="7" t="s">
        <v>45</v>
      </c>
      <c r="E362" s="7" t="s">
        <v>1367</v>
      </c>
      <c r="F362" s="8" t="s">
        <v>1364</v>
      </c>
      <c r="G362" s="9" t="n">
        <f aca="false">DATE(2000+VALUE(MID(F362,7,2)),VALUE(MID(F362,4,2)),VALUE(LEFT(F362,2)))</f>
        <v>45495</v>
      </c>
      <c r="H362" s="8" t="s">
        <v>1365</v>
      </c>
      <c r="I362" s="9" t="n">
        <f aca="false">DATE(2000+VALUE(MID(H362,7,2)),VALUE(MID(H362,4,2)),VALUE(LEFT(H362,2)))</f>
        <v>45496</v>
      </c>
      <c r="J362" s="9"/>
      <c r="K362" s="10" t="n">
        <v>450000</v>
      </c>
      <c r="L362" s="10" t="n">
        <v>0</v>
      </c>
      <c r="M362" s="10" t="n">
        <v>450000</v>
      </c>
      <c r="N362" s="10" t="n">
        <v>0</v>
      </c>
      <c r="O362" s="10" t="n">
        <v>0</v>
      </c>
      <c r="P362" s="10" t="n">
        <v>0</v>
      </c>
      <c r="Q362" s="10" t="n">
        <v>450000</v>
      </c>
      <c r="R362" s="10" t="n">
        <v>0</v>
      </c>
      <c r="S362" s="10" t="n">
        <v>0</v>
      </c>
      <c r="T362" s="7"/>
      <c r="U362" s="7"/>
      <c r="V362" s="7"/>
      <c r="W362" s="7" t="s">
        <v>43</v>
      </c>
      <c r="X362" s="7"/>
      <c r="Y362" s="7" t="s">
        <v>37</v>
      </c>
      <c r="Z362" s="7" t="s">
        <v>1368</v>
      </c>
      <c r="AA362" s="7"/>
      <c r="AB362" s="10" t="n">
        <v>450000</v>
      </c>
      <c r="AC362" s="10" t="n">
        <v>1</v>
      </c>
    </row>
    <row r="363" customFormat="false" ht="15.75" hidden="true" customHeight="true" outlineLevel="0" collapsed="false">
      <c r="A363" s="6"/>
      <c r="B363" s="7" t="s">
        <v>1048</v>
      </c>
      <c r="C363" s="7" t="s">
        <v>65</v>
      </c>
      <c r="D363" s="7" t="s">
        <v>156</v>
      </c>
      <c r="E363" s="7" t="s">
        <v>1195</v>
      </c>
      <c r="F363" s="8" t="s">
        <v>1309</v>
      </c>
      <c r="G363" s="9" t="n">
        <f aca="false">DATE(2000+VALUE(MID(F363,7,2)),VALUE(MID(F363,4,2)),VALUE(LEFT(F363,2)))</f>
        <v>45494</v>
      </c>
      <c r="H363" s="8" t="s">
        <v>1369</v>
      </c>
      <c r="I363" s="9" t="n">
        <f aca="false">DATE(2000+VALUE(MID(H363,7,2)),VALUE(MID(H363,4,2)),VALUE(LEFT(H363,2)))</f>
        <v>45496</v>
      </c>
      <c r="J363" s="9"/>
      <c r="K363" s="10" t="n">
        <v>940500</v>
      </c>
      <c r="L363" s="10" t="n">
        <v>0</v>
      </c>
      <c r="M363" s="10" t="n">
        <v>940500</v>
      </c>
      <c r="N363" s="10" t="n">
        <v>0</v>
      </c>
      <c r="O363" s="10" t="n">
        <v>0</v>
      </c>
      <c r="P363" s="10" t="n">
        <v>0</v>
      </c>
      <c r="Q363" s="10" t="n">
        <v>0</v>
      </c>
      <c r="R363" s="10" t="n">
        <v>940500</v>
      </c>
      <c r="S363" s="10" t="n">
        <v>0</v>
      </c>
      <c r="T363" s="7"/>
      <c r="U363" s="7"/>
      <c r="V363" s="7"/>
      <c r="W363" s="7" t="s">
        <v>222</v>
      </c>
      <c r="X363" s="7"/>
      <c r="Y363" s="7" t="s">
        <v>37</v>
      </c>
      <c r="Z363" s="7" t="s">
        <v>1370</v>
      </c>
      <c r="AA363" s="7"/>
      <c r="AB363" s="10" t="n">
        <v>470250</v>
      </c>
      <c r="AC363" s="10" t="n">
        <v>2</v>
      </c>
    </row>
    <row r="364" customFormat="false" ht="15.75" hidden="true" customHeight="true" outlineLevel="0" collapsed="false">
      <c r="A364" s="6"/>
      <c r="B364" s="7" t="s">
        <v>1198</v>
      </c>
      <c r="C364" s="7" t="s">
        <v>31</v>
      </c>
      <c r="D364" s="7" t="s">
        <v>32</v>
      </c>
      <c r="E364" s="7" t="s">
        <v>1371</v>
      </c>
      <c r="F364" s="8" t="s">
        <v>1372</v>
      </c>
      <c r="G364" s="9" t="n">
        <f aca="false">DATE(2000+VALUE(MID(F364,7,2)),VALUE(MID(F364,4,2)),VALUE(LEFT(F364,2)))</f>
        <v>45496</v>
      </c>
      <c r="H364" s="8" t="s">
        <v>1373</v>
      </c>
      <c r="I364" s="9" t="n">
        <f aca="false">DATE(2000+VALUE(MID(H364,7,2)),VALUE(MID(H364,4,2)),VALUE(LEFT(H364,2)))</f>
        <v>45496</v>
      </c>
      <c r="J364" s="9"/>
      <c r="K364" s="10" t="n">
        <v>400000</v>
      </c>
      <c r="L364" s="10" t="n">
        <v>0</v>
      </c>
      <c r="M364" s="10" t="n">
        <v>400000</v>
      </c>
      <c r="N364" s="10" t="n">
        <v>0</v>
      </c>
      <c r="O364" s="10" t="n">
        <v>400000</v>
      </c>
      <c r="P364" s="10" t="n">
        <v>0</v>
      </c>
      <c r="Q364" s="10" t="n">
        <v>0</v>
      </c>
      <c r="R364" s="10" t="n">
        <v>0</v>
      </c>
      <c r="S364" s="10" t="n">
        <v>0</v>
      </c>
      <c r="T364" s="7"/>
      <c r="U364" s="7"/>
      <c r="V364" s="7"/>
      <c r="W364" s="7" t="s">
        <v>43</v>
      </c>
      <c r="X364" s="7"/>
      <c r="Y364" s="7" t="s">
        <v>37</v>
      </c>
      <c r="Z364" s="7" t="s">
        <v>1374</v>
      </c>
      <c r="AA364" s="7"/>
      <c r="AB364" s="10" t="n">
        <v>400000</v>
      </c>
      <c r="AC364" s="10" t="n">
        <v>1</v>
      </c>
    </row>
    <row r="365" customFormat="false" ht="15.75" hidden="true" customHeight="true" outlineLevel="0" collapsed="false">
      <c r="A365" s="6"/>
      <c r="B365" s="7" t="s">
        <v>1103</v>
      </c>
      <c r="C365" s="7" t="s">
        <v>65</v>
      </c>
      <c r="D365" s="7" t="s">
        <v>76</v>
      </c>
      <c r="E365" s="7" t="s">
        <v>202</v>
      </c>
      <c r="F365" s="8" t="s">
        <v>1375</v>
      </c>
      <c r="G365" s="9" t="n">
        <f aca="false">DATE(2000+VALUE(MID(F365,7,2)),VALUE(MID(F365,4,2)),VALUE(LEFT(F365,2)))</f>
        <v>45495</v>
      </c>
      <c r="H365" s="8" t="s">
        <v>1376</v>
      </c>
      <c r="I365" s="9" t="n">
        <f aca="false">DATE(2000+VALUE(MID(H365,7,2)),VALUE(MID(H365,4,2)),VALUE(LEFT(H365,2)))</f>
        <v>45497</v>
      </c>
      <c r="J365" s="9"/>
      <c r="K365" s="10" t="n">
        <v>997542</v>
      </c>
      <c r="L365" s="10" t="n">
        <v>0</v>
      </c>
      <c r="M365" s="10" t="n">
        <v>997542</v>
      </c>
      <c r="N365" s="10" t="n">
        <v>0</v>
      </c>
      <c r="O365" s="10" t="n">
        <v>0</v>
      </c>
      <c r="P365" s="10" t="n">
        <v>0</v>
      </c>
      <c r="Q365" s="10" t="n">
        <v>0</v>
      </c>
      <c r="R365" s="10" t="n">
        <v>997542</v>
      </c>
      <c r="S365" s="10" t="n">
        <v>0</v>
      </c>
      <c r="T365" s="7"/>
      <c r="U365" s="7"/>
      <c r="V365" s="7"/>
      <c r="W365" s="7" t="s">
        <v>222</v>
      </c>
      <c r="X365" s="7"/>
      <c r="Y365" s="7" t="s">
        <v>37</v>
      </c>
      <c r="Z365" s="7" t="s">
        <v>1056</v>
      </c>
      <c r="AA365" s="7"/>
      <c r="AB365" s="10" t="n">
        <v>498771</v>
      </c>
      <c r="AC365" s="10" t="n">
        <v>2</v>
      </c>
    </row>
    <row r="366" customFormat="false" ht="15.75" hidden="true" customHeight="true" outlineLevel="0" collapsed="false">
      <c r="A366" s="6"/>
      <c r="B366" s="7" t="s">
        <v>1103</v>
      </c>
      <c r="C366" s="7" t="s">
        <v>65</v>
      </c>
      <c r="D366" s="7" t="s">
        <v>96</v>
      </c>
      <c r="E366" s="7" t="s">
        <v>202</v>
      </c>
      <c r="F366" s="8" t="s">
        <v>1375</v>
      </c>
      <c r="G366" s="9" t="n">
        <f aca="false">DATE(2000+VALUE(MID(F366,7,2)),VALUE(MID(F366,4,2)),VALUE(LEFT(F366,2)))</f>
        <v>45495</v>
      </c>
      <c r="H366" s="8" t="s">
        <v>1376</v>
      </c>
      <c r="I366" s="9" t="n">
        <f aca="false">DATE(2000+VALUE(MID(H366,7,2)),VALUE(MID(H366,4,2)),VALUE(LEFT(H366,2)))</f>
        <v>45497</v>
      </c>
      <c r="J366" s="9"/>
      <c r="K366" s="10" t="n">
        <v>1398000</v>
      </c>
      <c r="L366" s="10" t="n">
        <v>0</v>
      </c>
      <c r="M366" s="10" t="n">
        <v>1398000</v>
      </c>
      <c r="N366" s="10" t="n">
        <v>0</v>
      </c>
      <c r="O366" s="10" t="n">
        <v>0</v>
      </c>
      <c r="P366" s="10" t="n">
        <v>0</v>
      </c>
      <c r="Q366" s="10" t="n">
        <v>0</v>
      </c>
      <c r="R366" s="10" t="n">
        <v>1398000</v>
      </c>
      <c r="S366" s="10" t="n">
        <v>0</v>
      </c>
      <c r="T366" s="7"/>
      <c r="U366" s="7"/>
      <c r="V366" s="7"/>
      <c r="W366" s="7" t="s">
        <v>222</v>
      </c>
      <c r="X366" s="7"/>
      <c r="Y366" s="7" t="s">
        <v>37</v>
      </c>
      <c r="Z366" s="7" t="s">
        <v>1006</v>
      </c>
      <c r="AA366" s="7"/>
      <c r="AB366" s="10" t="n">
        <v>699000</v>
      </c>
      <c r="AC366" s="10" t="n">
        <v>2</v>
      </c>
    </row>
    <row r="367" customFormat="false" ht="15.75" hidden="true" customHeight="true" outlineLevel="0" collapsed="false">
      <c r="A367" s="6"/>
      <c r="B367" s="7" t="s">
        <v>1103</v>
      </c>
      <c r="C367" s="7" t="s">
        <v>60</v>
      </c>
      <c r="D367" s="7" t="s">
        <v>116</v>
      </c>
      <c r="E367" s="7" t="s">
        <v>202</v>
      </c>
      <c r="F367" s="8" t="s">
        <v>1375</v>
      </c>
      <c r="G367" s="9" t="n">
        <f aca="false">DATE(2000+VALUE(MID(F367,7,2)),VALUE(MID(F367,4,2)),VALUE(LEFT(F367,2)))</f>
        <v>45495</v>
      </c>
      <c r="H367" s="8" t="s">
        <v>1376</v>
      </c>
      <c r="I367" s="9" t="n">
        <f aca="false">DATE(2000+VALUE(MID(H367,7,2)),VALUE(MID(H367,4,2)),VALUE(LEFT(H367,2)))</f>
        <v>45497</v>
      </c>
      <c r="J367" s="9"/>
      <c r="K367" s="10" t="n">
        <v>997542</v>
      </c>
      <c r="L367" s="10" t="n">
        <v>0</v>
      </c>
      <c r="M367" s="10" t="n">
        <v>997542</v>
      </c>
      <c r="N367" s="10" t="n">
        <v>0</v>
      </c>
      <c r="O367" s="10" t="n">
        <v>0</v>
      </c>
      <c r="P367" s="10" t="n">
        <v>0</v>
      </c>
      <c r="Q367" s="10" t="n">
        <v>0</v>
      </c>
      <c r="R367" s="10" t="n">
        <v>997542</v>
      </c>
      <c r="S367" s="10" t="n">
        <v>0</v>
      </c>
      <c r="T367" s="7"/>
      <c r="U367" s="7"/>
      <c r="V367" s="7"/>
      <c r="W367" s="7" t="s">
        <v>222</v>
      </c>
      <c r="X367" s="7"/>
      <c r="Y367" s="7" t="s">
        <v>37</v>
      </c>
      <c r="Z367" s="7" t="s">
        <v>1002</v>
      </c>
      <c r="AA367" s="7"/>
      <c r="AB367" s="10" t="n">
        <v>498771</v>
      </c>
      <c r="AC367" s="10" t="n">
        <v>2</v>
      </c>
    </row>
    <row r="368" customFormat="false" ht="15.75" hidden="true" customHeight="true" outlineLevel="0" collapsed="false">
      <c r="A368" s="6"/>
      <c r="B368" s="7" t="s">
        <v>1103</v>
      </c>
      <c r="C368" s="7" t="s">
        <v>60</v>
      </c>
      <c r="D368" s="7" t="s">
        <v>61</v>
      </c>
      <c r="E368" s="7" t="s">
        <v>1377</v>
      </c>
      <c r="F368" s="8" t="s">
        <v>1375</v>
      </c>
      <c r="G368" s="9" t="n">
        <f aca="false">DATE(2000+VALUE(MID(F368,7,2)),VALUE(MID(F368,4,2)),VALUE(LEFT(F368,2)))</f>
        <v>45495</v>
      </c>
      <c r="H368" s="8" t="s">
        <v>1376</v>
      </c>
      <c r="I368" s="9" t="n">
        <f aca="false">DATE(2000+VALUE(MID(H368,7,2)),VALUE(MID(H368,4,2)),VALUE(LEFT(H368,2)))</f>
        <v>45497</v>
      </c>
      <c r="J368" s="9"/>
      <c r="K368" s="10" t="n">
        <v>997542</v>
      </c>
      <c r="L368" s="10" t="n">
        <v>0</v>
      </c>
      <c r="M368" s="10" t="n">
        <v>997542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997542</v>
      </c>
      <c r="S368" s="10" t="n">
        <v>0</v>
      </c>
      <c r="T368" s="7"/>
      <c r="U368" s="7"/>
      <c r="V368" s="7"/>
      <c r="W368" s="7" t="s">
        <v>222</v>
      </c>
      <c r="X368" s="7"/>
      <c r="Y368" s="7" t="s">
        <v>37</v>
      </c>
      <c r="Z368" s="7" t="s">
        <v>1035</v>
      </c>
      <c r="AA368" s="7"/>
      <c r="AB368" s="10" t="n">
        <v>498771</v>
      </c>
      <c r="AC368" s="10" t="n">
        <v>2</v>
      </c>
    </row>
    <row r="369" customFormat="false" ht="15.75" hidden="true" customHeight="true" outlineLevel="0" collapsed="false">
      <c r="A369" s="6"/>
      <c r="B369" s="7" t="s">
        <v>1103</v>
      </c>
      <c r="C369" s="7" t="s">
        <v>31</v>
      </c>
      <c r="D369" s="7" t="s">
        <v>337</v>
      </c>
      <c r="E369" s="7" t="s">
        <v>202</v>
      </c>
      <c r="F369" s="8" t="s">
        <v>1375</v>
      </c>
      <c r="G369" s="9" t="n">
        <f aca="false">DATE(2000+VALUE(MID(F369,7,2)),VALUE(MID(F369,4,2)),VALUE(LEFT(F369,2)))</f>
        <v>45495</v>
      </c>
      <c r="H369" s="8" t="s">
        <v>1376</v>
      </c>
      <c r="I369" s="9" t="n">
        <f aca="false">DATE(2000+VALUE(MID(H369,7,2)),VALUE(MID(H369,4,2)),VALUE(LEFT(H369,2)))</f>
        <v>45497</v>
      </c>
      <c r="J369" s="9"/>
      <c r="K369" s="10" t="n">
        <v>997542</v>
      </c>
      <c r="L369" s="10" t="n">
        <v>0</v>
      </c>
      <c r="M369" s="10" t="n">
        <v>997542</v>
      </c>
      <c r="N369" s="10" t="n">
        <v>0</v>
      </c>
      <c r="O369" s="10" t="n">
        <v>0</v>
      </c>
      <c r="P369" s="10" t="n">
        <v>0</v>
      </c>
      <c r="Q369" s="10" t="n">
        <v>0</v>
      </c>
      <c r="R369" s="10" t="n">
        <v>997542</v>
      </c>
      <c r="S369" s="10" t="n">
        <v>0</v>
      </c>
      <c r="T369" s="7"/>
      <c r="U369" s="7"/>
      <c r="V369" s="7"/>
      <c r="W369" s="7" t="s">
        <v>222</v>
      </c>
      <c r="X369" s="7"/>
      <c r="Y369" s="7" t="s">
        <v>37</v>
      </c>
      <c r="Z369" s="7" t="s">
        <v>1311</v>
      </c>
      <c r="AA369" s="7"/>
      <c r="AB369" s="10" t="n">
        <v>498771</v>
      </c>
      <c r="AC369" s="10" t="n">
        <v>2</v>
      </c>
    </row>
    <row r="370" customFormat="false" ht="15.75" hidden="true" customHeight="true" outlineLevel="0" collapsed="false">
      <c r="A370" s="6"/>
      <c r="B370" s="7" t="s">
        <v>1103</v>
      </c>
      <c r="C370" s="7" t="s">
        <v>31</v>
      </c>
      <c r="D370" s="7" t="s">
        <v>361</v>
      </c>
      <c r="E370" s="7" t="s">
        <v>1378</v>
      </c>
      <c r="F370" s="8" t="s">
        <v>1375</v>
      </c>
      <c r="G370" s="9" t="n">
        <f aca="false">DATE(2000+VALUE(MID(F370,7,2)),VALUE(MID(F370,4,2)),VALUE(LEFT(F370,2)))</f>
        <v>45495</v>
      </c>
      <c r="H370" s="8" t="s">
        <v>1376</v>
      </c>
      <c r="I370" s="9" t="n">
        <f aca="false">DATE(2000+VALUE(MID(H370,7,2)),VALUE(MID(H370,4,2)),VALUE(LEFT(H370,2)))</f>
        <v>45497</v>
      </c>
      <c r="J370" s="9"/>
      <c r="K370" s="10" t="n">
        <v>997542</v>
      </c>
      <c r="L370" s="10" t="n">
        <v>0</v>
      </c>
      <c r="M370" s="10" t="n">
        <v>997542</v>
      </c>
      <c r="N370" s="10" t="n">
        <v>0</v>
      </c>
      <c r="O370" s="10" t="n">
        <v>0</v>
      </c>
      <c r="P370" s="10" t="n">
        <v>0</v>
      </c>
      <c r="Q370" s="10" t="n">
        <v>0</v>
      </c>
      <c r="R370" s="10" t="n">
        <v>997542</v>
      </c>
      <c r="S370" s="10" t="n">
        <v>0</v>
      </c>
      <c r="T370" s="7"/>
      <c r="U370" s="7"/>
      <c r="V370" s="7"/>
      <c r="W370" s="7" t="s">
        <v>222</v>
      </c>
      <c r="X370" s="7"/>
      <c r="Y370" s="7" t="s">
        <v>37</v>
      </c>
      <c r="Z370" s="7" t="s">
        <v>1067</v>
      </c>
      <c r="AA370" s="7"/>
      <c r="AB370" s="10" t="n">
        <v>498771</v>
      </c>
      <c r="AC370" s="10" t="n">
        <v>2</v>
      </c>
    </row>
    <row r="371" customFormat="false" ht="15.75" hidden="true" customHeight="true" outlineLevel="0" collapsed="false">
      <c r="A371" s="6"/>
      <c r="B371" s="7" t="s">
        <v>1379</v>
      </c>
      <c r="C371" s="7" t="s">
        <v>71</v>
      </c>
      <c r="D371" s="7" t="s">
        <v>92</v>
      </c>
      <c r="E371" s="7" t="s">
        <v>1380</v>
      </c>
      <c r="F371" s="8" t="s">
        <v>1381</v>
      </c>
      <c r="G371" s="9" t="n">
        <f aca="false">DATE(2000+VALUE(MID(F371,7,2)),VALUE(MID(F371,4,2)),VALUE(LEFT(F371,2)))</f>
        <v>45494</v>
      </c>
      <c r="H371" s="8" t="s">
        <v>1382</v>
      </c>
      <c r="I371" s="9" t="n">
        <f aca="false">DATE(2000+VALUE(MID(H371,7,2)),VALUE(MID(H371,4,2)),VALUE(LEFT(H371,2)))</f>
        <v>45497</v>
      </c>
      <c r="J371" s="9"/>
      <c r="K371" s="10" t="n">
        <v>1890000</v>
      </c>
      <c r="L371" s="10" t="n">
        <v>0</v>
      </c>
      <c r="M371" s="10" t="n">
        <v>1890000</v>
      </c>
      <c r="N371" s="10" t="n">
        <v>0</v>
      </c>
      <c r="O371" s="10" t="n">
        <v>0</v>
      </c>
      <c r="P371" s="10" t="n">
        <v>0</v>
      </c>
      <c r="Q371" s="10" t="n">
        <v>1890000</v>
      </c>
      <c r="R371" s="10" t="n">
        <v>0</v>
      </c>
      <c r="S371" s="10" t="n">
        <v>0</v>
      </c>
      <c r="T371" s="7"/>
      <c r="U371" s="7"/>
      <c r="V371" s="7"/>
      <c r="W371" s="7" t="s">
        <v>43</v>
      </c>
      <c r="X371" s="7"/>
      <c r="Y371" s="7" t="s">
        <v>37</v>
      </c>
      <c r="Z371" s="7" t="s">
        <v>1383</v>
      </c>
      <c r="AA371" s="7"/>
      <c r="AB371" s="10" t="n">
        <v>630000</v>
      </c>
      <c r="AC371" s="10" t="n">
        <v>3</v>
      </c>
    </row>
    <row r="372" customFormat="false" ht="15.75" hidden="true" customHeight="true" outlineLevel="0" collapsed="false">
      <c r="A372" s="6"/>
      <c r="B372" s="7" t="s">
        <v>1384</v>
      </c>
      <c r="C372" s="7" t="s">
        <v>60</v>
      </c>
      <c r="D372" s="7" t="s">
        <v>164</v>
      </c>
      <c r="E372" s="7" t="s">
        <v>1385</v>
      </c>
      <c r="F372" s="8" t="s">
        <v>1386</v>
      </c>
      <c r="G372" s="9" t="n">
        <f aca="false">DATE(2000+VALUE(MID(F372,7,2)),VALUE(MID(F372,4,2)),VALUE(LEFT(F372,2)))</f>
        <v>45496</v>
      </c>
      <c r="H372" s="8" t="s">
        <v>1387</v>
      </c>
      <c r="I372" s="9" t="n">
        <f aca="false">DATE(2000+VALUE(MID(H372,7,2)),VALUE(MID(H372,4,2)),VALUE(LEFT(H372,2)))</f>
        <v>45497</v>
      </c>
      <c r="J372" s="9"/>
      <c r="K372" s="10" t="n">
        <v>585000</v>
      </c>
      <c r="L372" s="10" t="n">
        <v>0</v>
      </c>
      <c r="M372" s="10" t="n">
        <v>585000</v>
      </c>
      <c r="N372" s="10" t="n">
        <v>0</v>
      </c>
      <c r="O372" s="10" t="n">
        <v>0</v>
      </c>
      <c r="P372" s="10" t="n">
        <v>0</v>
      </c>
      <c r="Q372" s="10" t="n">
        <v>585000</v>
      </c>
      <c r="R372" s="10" t="n">
        <v>0</v>
      </c>
      <c r="S372" s="10" t="n">
        <v>0</v>
      </c>
      <c r="T372" s="7"/>
      <c r="U372" s="7"/>
      <c r="V372" s="7"/>
      <c r="W372" s="7" t="s">
        <v>43</v>
      </c>
      <c r="X372" s="7"/>
      <c r="Y372" s="7" t="s">
        <v>37</v>
      </c>
      <c r="Z372" s="7" t="s">
        <v>1388</v>
      </c>
      <c r="AA372" s="7"/>
      <c r="AB372" s="10" t="n">
        <v>585000</v>
      </c>
      <c r="AC372" s="10" t="n">
        <v>1</v>
      </c>
    </row>
    <row r="373" customFormat="false" ht="15.75" hidden="true" customHeight="true" outlineLevel="0" collapsed="false">
      <c r="A373" s="6"/>
      <c r="B373" s="7" t="s">
        <v>1136</v>
      </c>
      <c r="C373" s="7" t="s">
        <v>71</v>
      </c>
      <c r="D373" s="7" t="s">
        <v>914</v>
      </c>
      <c r="E373" s="7" t="s">
        <v>1389</v>
      </c>
      <c r="F373" s="8" t="s">
        <v>1390</v>
      </c>
      <c r="G373" s="9" t="n">
        <f aca="false">DATE(2000+VALUE(MID(F373,7,2)),VALUE(MID(F373,4,2)),VALUE(LEFT(F373,2)))</f>
        <v>45497</v>
      </c>
      <c r="H373" s="8" t="s">
        <v>1391</v>
      </c>
      <c r="I373" s="9" t="n">
        <f aca="false">DATE(2000+VALUE(MID(H373,7,2)),VALUE(MID(H373,4,2)),VALUE(LEFT(H373,2)))</f>
        <v>45498</v>
      </c>
      <c r="J373" s="9"/>
      <c r="K373" s="10" t="n">
        <v>650000</v>
      </c>
      <c r="L373" s="10" t="n">
        <v>0</v>
      </c>
      <c r="M373" s="10" t="n">
        <v>650000</v>
      </c>
      <c r="N373" s="10" t="n">
        <v>0</v>
      </c>
      <c r="O373" s="10" t="n">
        <v>0</v>
      </c>
      <c r="P373" s="10" t="n">
        <v>0</v>
      </c>
      <c r="Q373" s="10" t="n">
        <v>650000</v>
      </c>
      <c r="R373" s="10" t="n">
        <v>0</v>
      </c>
      <c r="S373" s="10" t="n">
        <v>0</v>
      </c>
      <c r="T373" s="7"/>
      <c r="U373" s="7"/>
      <c r="V373" s="7"/>
      <c r="W373" s="7" t="s">
        <v>43</v>
      </c>
      <c r="X373" s="7"/>
      <c r="Y373" s="7" t="s">
        <v>37</v>
      </c>
      <c r="Z373" s="7" t="s">
        <v>1392</v>
      </c>
      <c r="AA373" s="7"/>
      <c r="AB373" s="10" t="n">
        <v>650000</v>
      </c>
      <c r="AC373" s="10" t="n">
        <v>1</v>
      </c>
    </row>
    <row r="374" customFormat="false" ht="15.75" hidden="true" customHeight="true" outlineLevel="0" collapsed="false">
      <c r="A374" s="6"/>
      <c r="B374" s="7" t="s">
        <v>1112</v>
      </c>
      <c r="C374" s="7" t="s">
        <v>60</v>
      </c>
      <c r="D374" s="7" t="s">
        <v>173</v>
      </c>
      <c r="E374" s="7" t="s">
        <v>1393</v>
      </c>
      <c r="F374" s="8" t="s">
        <v>1394</v>
      </c>
      <c r="G374" s="9" t="n">
        <f aca="false">DATE(2000+VALUE(MID(F374,7,2)),VALUE(MID(F374,4,2)),VALUE(LEFT(F374,2)))</f>
        <v>45497</v>
      </c>
      <c r="H374" s="8" t="s">
        <v>1395</v>
      </c>
      <c r="I374" s="9" t="n">
        <f aca="false">DATE(2000+VALUE(MID(H374,7,2)),VALUE(MID(H374,4,2)),VALUE(LEFT(H374,2)))</f>
        <v>45498</v>
      </c>
      <c r="J374" s="9"/>
      <c r="K374" s="10" t="n">
        <v>600000</v>
      </c>
      <c r="L374" s="10" t="n">
        <v>35000</v>
      </c>
      <c r="M374" s="10" t="n">
        <v>635000</v>
      </c>
      <c r="N374" s="10" t="n">
        <v>0</v>
      </c>
      <c r="O374" s="10" t="n">
        <v>35000</v>
      </c>
      <c r="P374" s="10" t="n">
        <v>0</v>
      </c>
      <c r="Q374" s="10" t="n">
        <v>600000</v>
      </c>
      <c r="R374" s="10" t="n">
        <v>0</v>
      </c>
      <c r="S374" s="10" t="n">
        <v>0</v>
      </c>
      <c r="T374" s="7"/>
      <c r="U374" s="7"/>
      <c r="V374" s="7"/>
      <c r="W374" s="7" t="s">
        <v>43</v>
      </c>
      <c r="X374" s="7"/>
      <c r="Y374" s="7" t="s">
        <v>37</v>
      </c>
      <c r="Z374" s="7" t="s">
        <v>1396</v>
      </c>
      <c r="AA374" s="7"/>
      <c r="AB374" s="10" t="n">
        <v>600000</v>
      </c>
      <c r="AC374" s="10" t="n">
        <v>1</v>
      </c>
    </row>
    <row r="375" customFormat="false" ht="15.75" hidden="true" customHeight="true" outlineLevel="0" collapsed="false">
      <c r="A375" s="6"/>
      <c r="B375" s="7" t="s">
        <v>1140</v>
      </c>
      <c r="C375" s="7" t="s">
        <v>31</v>
      </c>
      <c r="D375" s="7" t="s">
        <v>440</v>
      </c>
      <c r="E375" s="7" t="s">
        <v>1397</v>
      </c>
      <c r="F375" s="8" t="s">
        <v>1398</v>
      </c>
      <c r="G375" s="9" t="n">
        <f aca="false">DATE(2000+VALUE(MID(F375,7,2)),VALUE(MID(F375,4,2)),VALUE(LEFT(F375,2)))</f>
        <v>45498</v>
      </c>
      <c r="H375" s="8" t="s">
        <v>1399</v>
      </c>
      <c r="I375" s="9" t="n">
        <f aca="false">DATE(2000+VALUE(MID(H375,7,2)),VALUE(MID(H375,4,2)),VALUE(LEFT(H375,2)))</f>
        <v>45498</v>
      </c>
      <c r="J375" s="9"/>
      <c r="K375" s="10" t="n">
        <v>450000</v>
      </c>
      <c r="L375" s="10" t="n">
        <v>0</v>
      </c>
      <c r="M375" s="10" t="n">
        <v>450000</v>
      </c>
      <c r="N375" s="10" t="n">
        <v>0</v>
      </c>
      <c r="O375" s="10" t="n">
        <v>450000</v>
      </c>
      <c r="P375" s="10" t="n">
        <v>0</v>
      </c>
      <c r="Q375" s="10" t="n">
        <v>0</v>
      </c>
      <c r="R375" s="10" t="n">
        <v>0</v>
      </c>
      <c r="S375" s="10" t="n">
        <v>0</v>
      </c>
      <c r="T375" s="7"/>
      <c r="U375" s="7"/>
      <c r="V375" s="7"/>
      <c r="W375" s="7" t="s">
        <v>43</v>
      </c>
      <c r="X375" s="7"/>
      <c r="Y375" s="7" t="s">
        <v>37</v>
      </c>
      <c r="Z375" s="7" t="s">
        <v>1400</v>
      </c>
      <c r="AA375" s="7"/>
      <c r="AB375" s="10" t="n">
        <v>450000</v>
      </c>
      <c r="AC375" s="10" t="n">
        <v>1</v>
      </c>
    </row>
    <row r="376" customFormat="false" ht="15.75" hidden="true" customHeight="true" outlineLevel="0" collapsed="false">
      <c r="A376" s="6"/>
      <c r="B376" s="7" t="s">
        <v>1099</v>
      </c>
      <c r="C376" s="7" t="s">
        <v>71</v>
      </c>
      <c r="D376" s="7" t="s">
        <v>914</v>
      </c>
      <c r="E376" s="7" t="s">
        <v>1389</v>
      </c>
      <c r="F376" s="8" t="s">
        <v>1401</v>
      </c>
      <c r="G376" s="9" t="n">
        <f aca="false">DATE(2000+VALUE(MID(F376,7,2)),VALUE(MID(F376,4,2)),VALUE(LEFT(F376,2)))</f>
        <v>45498</v>
      </c>
      <c r="H376" s="8" t="s">
        <v>1402</v>
      </c>
      <c r="I376" s="9" t="n">
        <f aca="false">DATE(2000+VALUE(MID(H376,7,2)),VALUE(MID(H376,4,2)),VALUE(LEFT(H376,2)))</f>
        <v>45498</v>
      </c>
      <c r="J376" s="9"/>
      <c r="K376" s="10" t="n">
        <v>500000</v>
      </c>
      <c r="L376" s="10" t="n">
        <v>0</v>
      </c>
      <c r="M376" s="10" t="n">
        <v>500000</v>
      </c>
      <c r="N376" s="10" t="n">
        <v>0</v>
      </c>
      <c r="O376" s="10" t="n">
        <v>100000</v>
      </c>
      <c r="P376" s="10" t="n">
        <v>0</v>
      </c>
      <c r="Q376" s="10" t="n">
        <v>400000</v>
      </c>
      <c r="R376" s="10" t="n">
        <v>0</v>
      </c>
      <c r="S376" s="10" t="n">
        <v>0</v>
      </c>
      <c r="T376" s="7"/>
      <c r="U376" s="7"/>
      <c r="V376" s="7"/>
      <c r="W376" s="7" t="s">
        <v>43</v>
      </c>
      <c r="X376" s="7"/>
      <c r="Y376" s="7" t="s">
        <v>37</v>
      </c>
      <c r="Z376" s="7" t="s">
        <v>1403</v>
      </c>
      <c r="AA376" s="7"/>
      <c r="AB376" s="10" t="n">
        <v>500000</v>
      </c>
      <c r="AC376" s="10" t="n">
        <v>1</v>
      </c>
    </row>
    <row r="377" customFormat="false" ht="15.75" hidden="true" customHeight="true" outlineLevel="0" collapsed="false">
      <c r="A377" s="6"/>
      <c r="B377" s="7" t="s">
        <v>1344</v>
      </c>
      <c r="C377" s="7" t="s">
        <v>60</v>
      </c>
      <c r="D377" s="7" t="s">
        <v>116</v>
      </c>
      <c r="E377" s="7" t="s">
        <v>202</v>
      </c>
      <c r="F377" s="8" t="s">
        <v>1404</v>
      </c>
      <c r="G377" s="9" t="n">
        <f aca="false">DATE(2000+VALUE(MID(F377,7,2)),VALUE(MID(F377,4,2)),VALUE(LEFT(F377,2)))</f>
        <v>45497</v>
      </c>
      <c r="H377" s="8" t="s">
        <v>1405</v>
      </c>
      <c r="I377" s="9" t="n">
        <f aca="false">DATE(2000+VALUE(MID(H377,7,2)),VALUE(MID(H377,4,2)),VALUE(LEFT(H377,2)))</f>
        <v>45498</v>
      </c>
      <c r="J377" s="9"/>
      <c r="K377" s="10" t="n">
        <v>1100000</v>
      </c>
      <c r="L377" s="10" t="n">
        <v>0</v>
      </c>
      <c r="M377" s="10" t="n">
        <v>1100000</v>
      </c>
      <c r="N377" s="10" t="n">
        <v>0</v>
      </c>
      <c r="O377" s="10" t="n">
        <v>0</v>
      </c>
      <c r="P377" s="10" t="n">
        <v>0</v>
      </c>
      <c r="Q377" s="10" t="n">
        <v>0</v>
      </c>
      <c r="R377" s="10" t="n">
        <v>0</v>
      </c>
      <c r="S377" s="10" t="n">
        <v>1100000</v>
      </c>
      <c r="T377" s="7"/>
      <c r="U377" s="7"/>
      <c r="V377" s="7"/>
      <c r="W377" s="7" t="s">
        <v>43</v>
      </c>
      <c r="X377" s="7"/>
      <c r="Y377" s="7" t="s">
        <v>37</v>
      </c>
      <c r="Z377" s="7" t="s">
        <v>1406</v>
      </c>
      <c r="AA377" s="7"/>
      <c r="AB377" s="10" t="n">
        <v>1100000</v>
      </c>
      <c r="AC377" s="10" t="n">
        <v>1</v>
      </c>
    </row>
    <row r="378" customFormat="false" ht="15.75" hidden="true" customHeight="true" outlineLevel="0" collapsed="false">
      <c r="A378" s="6"/>
      <c r="B378" s="7" t="s">
        <v>893</v>
      </c>
      <c r="C378" s="7" t="s">
        <v>31</v>
      </c>
      <c r="D378" s="7" t="s">
        <v>39</v>
      </c>
      <c r="E378" s="7" t="s">
        <v>1407</v>
      </c>
      <c r="F378" s="8" t="s">
        <v>947</v>
      </c>
      <c r="G378" s="9" t="n">
        <f aca="false">DATE(2000+VALUE(MID(F378,7,2)),VALUE(MID(F378,4,2)),VALUE(LEFT(F378,2)))</f>
        <v>45478</v>
      </c>
      <c r="H378" s="8" t="s">
        <v>1408</v>
      </c>
      <c r="I378" s="9" t="n">
        <f aca="false">DATE(2000+VALUE(MID(H378,7,2)),VALUE(MID(H378,4,2)),VALUE(LEFT(H378,2)))</f>
        <v>45499</v>
      </c>
      <c r="J378" s="9"/>
      <c r="K378" s="10" t="n">
        <v>14700000</v>
      </c>
      <c r="L378" s="10" t="n">
        <v>1378400</v>
      </c>
      <c r="M378" s="10" t="n">
        <v>16078400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16078400</v>
      </c>
      <c r="S378" s="10" t="n">
        <v>0</v>
      </c>
      <c r="T378" s="7"/>
      <c r="U378" s="7"/>
      <c r="V378" s="7"/>
      <c r="W378" s="7" t="s">
        <v>43</v>
      </c>
      <c r="X378" s="7"/>
      <c r="Y378" s="7" t="s">
        <v>37</v>
      </c>
      <c r="Z378" s="7" t="s">
        <v>1133</v>
      </c>
      <c r="AA378" s="7"/>
      <c r="AB378" s="10" t="n">
        <v>700000</v>
      </c>
      <c r="AC378" s="10" t="n">
        <v>21</v>
      </c>
    </row>
    <row r="379" customFormat="false" ht="15.75" hidden="true" customHeight="true" outlineLevel="0" collapsed="false">
      <c r="A379" s="6"/>
      <c r="B379" s="7" t="s">
        <v>1132</v>
      </c>
      <c r="C379" s="7" t="s">
        <v>31</v>
      </c>
      <c r="D379" s="7" t="s">
        <v>32</v>
      </c>
      <c r="E379" s="7" t="s">
        <v>1409</v>
      </c>
      <c r="F379" s="8" t="s">
        <v>1410</v>
      </c>
      <c r="G379" s="9" t="n">
        <f aca="false">DATE(2000+VALUE(MID(F379,7,2)),VALUE(MID(F379,4,2)),VALUE(LEFT(F379,2)))</f>
        <v>45497</v>
      </c>
      <c r="H379" s="8" t="s">
        <v>1411</v>
      </c>
      <c r="I379" s="9" t="n">
        <f aca="false">DATE(2000+VALUE(MID(H379,7,2)),VALUE(MID(H379,4,2)),VALUE(LEFT(H379,2)))</f>
        <v>45499</v>
      </c>
      <c r="J379" s="9"/>
      <c r="K379" s="10" t="n">
        <v>1798000</v>
      </c>
      <c r="L379" s="10" t="n">
        <v>0</v>
      </c>
      <c r="M379" s="10" t="n">
        <v>1798000</v>
      </c>
      <c r="N379" s="10" t="n">
        <v>0</v>
      </c>
      <c r="O379" s="10" t="n">
        <v>1298000</v>
      </c>
      <c r="P379" s="10" t="n">
        <v>0</v>
      </c>
      <c r="Q379" s="10" t="n">
        <v>500000</v>
      </c>
      <c r="R379" s="10" t="n">
        <v>0</v>
      </c>
      <c r="S379" s="10" t="n">
        <v>0</v>
      </c>
      <c r="T379" s="7"/>
      <c r="U379" s="7"/>
      <c r="V379" s="7"/>
      <c r="W379" s="7" t="s">
        <v>43</v>
      </c>
      <c r="X379" s="7"/>
      <c r="Y379" s="7" t="s">
        <v>37</v>
      </c>
      <c r="Z379" s="7" t="s">
        <v>1412</v>
      </c>
      <c r="AA379" s="7"/>
      <c r="AB379" s="10" t="n">
        <v>899000</v>
      </c>
      <c r="AC379" s="10" t="n">
        <v>2</v>
      </c>
    </row>
    <row r="380" customFormat="false" ht="15.75" hidden="true" customHeight="true" outlineLevel="0" collapsed="false">
      <c r="A380" s="6"/>
      <c r="B380" s="7" t="s">
        <v>1130</v>
      </c>
      <c r="C380" s="7" t="s">
        <v>60</v>
      </c>
      <c r="D380" s="7" t="s">
        <v>173</v>
      </c>
      <c r="E380" s="7" t="s">
        <v>1413</v>
      </c>
      <c r="F380" s="8" t="s">
        <v>1414</v>
      </c>
      <c r="G380" s="9" t="n">
        <f aca="false">DATE(2000+VALUE(MID(F380,7,2)),VALUE(MID(F380,4,2)),VALUE(LEFT(F380,2)))</f>
        <v>45498</v>
      </c>
      <c r="H380" s="8" t="s">
        <v>1415</v>
      </c>
      <c r="I380" s="9" t="n">
        <f aca="false">DATE(2000+VALUE(MID(H380,7,2)),VALUE(MID(H380,4,2)),VALUE(LEFT(H380,2)))</f>
        <v>45499</v>
      </c>
      <c r="J380" s="9"/>
      <c r="K380" s="10" t="n">
        <v>549000</v>
      </c>
      <c r="L380" s="10" t="n">
        <v>20000</v>
      </c>
      <c r="M380" s="10" t="n">
        <v>569000</v>
      </c>
      <c r="N380" s="10" t="n">
        <v>0</v>
      </c>
      <c r="O380" s="10" t="n">
        <v>369000</v>
      </c>
      <c r="P380" s="10" t="n">
        <v>0</v>
      </c>
      <c r="Q380" s="10" t="n">
        <v>200000</v>
      </c>
      <c r="R380" s="10" t="n">
        <v>0</v>
      </c>
      <c r="S380" s="10" t="n">
        <v>0</v>
      </c>
      <c r="T380" s="7"/>
      <c r="U380" s="7"/>
      <c r="V380" s="7"/>
      <c r="W380" s="7" t="s">
        <v>43</v>
      </c>
      <c r="X380" s="7"/>
      <c r="Y380" s="7" t="s">
        <v>37</v>
      </c>
      <c r="Z380" s="7" t="s">
        <v>1416</v>
      </c>
      <c r="AA380" s="7"/>
      <c r="AB380" s="10" t="n">
        <v>549000</v>
      </c>
      <c r="AC380" s="10" t="n">
        <v>1</v>
      </c>
    </row>
    <row r="381" customFormat="false" ht="15.75" hidden="true" customHeight="true" outlineLevel="0" collapsed="false">
      <c r="A381" s="6"/>
      <c r="B381" s="7" t="s">
        <v>1344</v>
      </c>
      <c r="C381" s="7" t="s">
        <v>65</v>
      </c>
      <c r="D381" s="7" t="s">
        <v>156</v>
      </c>
      <c r="E381" s="7" t="s">
        <v>202</v>
      </c>
      <c r="F381" s="8" t="s">
        <v>1404</v>
      </c>
      <c r="G381" s="9" t="n">
        <f aca="false">DATE(2000+VALUE(MID(F381,7,2)),VALUE(MID(F381,4,2)),VALUE(LEFT(F381,2)))</f>
        <v>45497</v>
      </c>
      <c r="H381" s="8" t="s">
        <v>1415</v>
      </c>
      <c r="I381" s="9" t="n">
        <f aca="false">DATE(2000+VALUE(MID(H381,7,2)),VALUE(MID(H381,4,2)),VALUE(LEFT(H381,2)))</f>
        <v>45499</v>
      </c>
      <c r="J381" s="9"/>
      <c r="K381" s="10" t="n">
        <v>1100000</v>
      </c>
      <c r="L381" s="10" t="n">
        <v>704000</v>
      </c>
      <c r="M381" s="10" t="n">
        <v>1804000</v>
      </c>
      <c r="N381" s="10" t="n">
        <v>0</v>
      </c>
      <c r="O381" s="10" t="n">
        <v>0</v>
      </c>
      <c r="P381" s="10" t="n">
        <v>0</v>
      </c>
      <c r="Q381" s="10" t="n">
        <v>1804000</v>
      </c>
      <c r="R381" s="10" t="n">
        <v>0</v>
      </c>
      <c r="S381" s="10" t="n">
        <v>0</v>
      </c>
      <c r="T381" s="7"/>
      <c r="U381" s="7"/>
      <c r="V381" s="7"/>
      <c r="W381" s="7" t="s">
        <v>43</v>
      </c>
      <c r="X381" s="7"/>
      <c r="Y381" s="7" t="s">
        <v>37</v>
      </c>
      <c r="Z381" s="7" t="s">
        <v>1417</v>
      </c>
      <c r="AA381" s="7"/>
      <c r="AB381" s="10" t="n">
        <v>550000</v>
      </c>
      <c r="AC381" s="10" t="n">
        <v>2</v>
      </c>
    </row>
    <row r="382" customFormat="false" ht="15.75" hidden="true" customHeight="true" outlineLevel="0" collapsed="false">
      <c r="A382" s="6"/>
      <c r="B382" s="7" t="s">
        <v>1344</v>
      </c>
      <c r="C382" s="7" t="s">
        <v>65</v>
      </c>
      <c r="D382" s="7" t="s">
        <v>96</v>
      </c>
      <c r="E382" s="7" t="s">
        <v>202</v>
      </c>
      <c r="F382" s="8" t="s">
        <v>1404</v>
      </c>
      <c r="G382" s="9" t="n">
        <f aca="false">DATE(2000+VALUE(MID(F382,7,2)),VALUE(MID(F382,4,2)),VALUE(LEFT(F382,2)))</f>
        <v>45497</v>
      </c>
      <c r="H382" s="8" t="s">
        <v>1415</v>
      </c>
      <c r="I382" s="9" t="n">
        <f aca="false">DATE(2000+VALUE(MID(H382,7,2)),VALUE(MID(H382,4,2)),VALUE(LEFT(H382,2)))</f>
        <v>45499</v>
      </c>
      <c r="J382" s="9"/>
      <c r="K382" s="10" t="n">
        <v>1000000</v>
      </c>
      <c r="L382" s="10" t="n">
        <v>0</v>
      </c>
      <c r="M382" s="10" t="n">
        <v>1000000</v>
      </c>
      <c r="N382" s="10" t="n">
        <v>0</v>
      </c>
      <c r="O382" s="10" t="n">
        <v>0</v>
      </c>
      <c r="P382" s="10" t="n">
        <v>0</v>
      </c>
      <c r="Q382" s="10" t="n">
        <v>1000000</v>
      </c>
      <c r="R382" s="10" t="n">
        <v>0</v>
      </c>
      <c r="S382" s="10" t="n">
        <v>0</v>
      </c>
      <c r="T382" s="7"/>
      <c r="U382" s="7"/>
      <c r="V382" s="7"/>
      <c r="W382" s="7" t="s">
        <v>43</v>
      </c>
      <c r="X382" s="7"/>
      <c r="Y382" s="7" t="s">
        <v>37</v>
      </c>
      <c r="Z382" s="7" t="s">
        <v>1418</v>
      </c>
      <c r="AA382" s="7"/>
      <c r="AB382" s="10" t="n">
        <v>500000</v>
      </c>
      <c r="AC382" s="10" t="n">
        <v>2</v>
      </c>
    </row>
    <row r="383" customFormat="false" ht="15.75" hidden="true" customHeight="true" outlineLevel="0" collapsed="false">
      <c r="A383" s="6"/>
      <c r="B383" s="7" t="s">
        <v>1344</v>
      </c>
      <c r="C383" s="7" t="s">
        <v>65</v>
      </c>
      <c r="D383" s="7" t="s">
        <v>76</v>
      </c>
      <c r="E383" s="7" t="s">
        <v>202</v>
      </c>
      <c r="F383" s="8" t="s">
        <v>1404</v>
      </c>
      <c r="G383" s="9" t="n">
        <f aca="false">DATE(2000+VALUE(MID(F383,7,2)),VALUE(MID(F383,4,2)),VALUE(LEFT(F383,2)))</f>
        <v>45497</v>
      </c>
      <c r="H383" s="8" t="s">
        <v>1415</v>
      </c>
      <c r="I383" s="9" t="n">
        <f aca="false">DATE(2000+VALUE(MID(H383,7,2)),VALUE(MID(H383,4,2)),VALUE(LEFT(H383,2)))</f>
        <v>45499</v>
      </c>
      <c r="J383" s="9"/>
      <c r="K383" s="10" t="n">
        <v>1000000</v>
      </c>
      <c r="L383" s="10" t="n">
        <v>0</v>
      </c>
      <c r="M383" s="10" t="n">
        <v>1000000</v>
      </c>
      <c r="N383" s="10" t="n">
        <v>0</v>
      </c>
      <c r="O383" s="10" t="n">
        <v>0</v>
      </c>
      <c r="P383" s="10" t="n">
        <v>0</v>
      </c>
      <c r="Q383" s="10" t="n">
        <v>1000000</v>
      </c>
      <c r="R383" s="10" t="n">
        <v>0</v>
      </c>
      <c r="S383" s="10" t="n">
        <v>0</v>
      </c>
      <c r="T383" s="7"/>
      <c r="U383" s="7"/>
      <c r="V383" s="7"/>
      <c r="W383" s="7" t="s">
        <v>43</v>
      </c>
      <c r="X383" s="7"/>
      <c r="Y383" s="7" t="s">
        <v>37</v>
      </c>
      <c r="Z383" s="7" t="s">
        <v>1419</v>
      </c>
      <c r="AA383" s="7"/>
      <c r="AB383" s="10" t="n">
        <v>500000</v>
      </c>
      <c r="AC383" s="10" t="n">
        <v>2</v>
      </c>
    </row>
    <row r="384" customFormat="false" ht="15.75" hidden="true" customHeight="true" outlineLevel="0" collapsed="false">
      <c r="A384" s="6"/>
      <c r="B384" s="7" t="s">
        <v>1344</v>
      </c>
      <c r="C384" s="7" t="s">
        <v>60</v>
      </c>
      <c r="D384" s="7" t="s">
        <v>164</v>
      </c>
      <c r="E384" s="7" t="s">
        <v>202</v>
      </c>
      <c r="F384" s="8" t="s">
        <v>1404</v>
      </c>
      <c r="G384" s="9" t="n">
        <f aca="false">DATE(2000+VALUE(MID(F384,7,2)),VALUE(MID(F384,4,2)),VALUE(LEFT(F384,2)))</f>
        <v>45497</v>
      </c>
      <c r="H384" s="8" t="s">
        <v>1415</v>
      </c>
      <c r="I384" s="9" t="n">
        <f aca="false">DATE(2000+VALUE(MID(H384,7,2)),VALUE(MID(H384,4,2)),VALUE(LEFT(H384,2)))</f>
        <v>45499</v>
      </c>
      <c r="J384" s="9"/>
      <c r="K384" s="10" t="n">
        <v>1100000</v>
      </c>
      <c r="L384" s="10" t="n">
        <v>0</v>
      </c>
      <c r="M384" s="10" t="n">
        <v>1100000</v>
      </c>
      <c r="N384" s="10" t="n">
        <v>0</v>
      </c>
      <c r="O384" s="10" t="n">
        <v>0</v>
      </c>
      <c r="P384" s="10" t="n">
        <v>0</v>
      </c>
      <c r="Q384" s="10" t="n">
        <v>1100000</v>
      </c>
      <c r="R384" s="10" t="n">
        <v>0</v>
      </c>
      <c r="S384" s="10" t="n">
        <v>0</v>
      </c>
      <c r="T384" s="7"/>
      <c r="U384" s="7"/>
      <c r="V384" s="7"/>
      <c r="W384" s="7" t="s">
        <v>43</v>
      </c>
      <c r="X384" s="7"/>
      <c r="Y384" s="7" t="s">
        <v>37</v>
      </c>
      <c r="Z384" s="7" t="s">
        <v>1420</v>
      </c>
      <c r="AA384" s="7"/>
      <c r="AB384" s="10" t="n">
        <v>550000</v>
      </c>
      <c r="AC384" s="10" t="n">
        <v>2</v>
      </c>
    </row>
    <row r="385" customFormat="false" ht="15.75" hidden="true" customHeight="true" outlineLevel="0" collapsed="false">
      <c r="A385" s="6"/>
      <c r="B385" s="7" t="s">
        <v>1344</v>
      </c>
      <c r="C385" s="7" t="s">
        <v>71</v>
      </c>
      <c r="D385" s="7" t="s">
        <v>72</v>
      </c>
      <c r="E385" s="7" t="s">
        <v>1421</v>
      </c>
      <c r="F385" s="8" t="s">
        <v>1404</v>
      </c>
      <c r="G385" s="9" t="n">
        <f aca="false">DATE(2000+VALUE(MID(F385,7,2)),VALUE(MID(F385,4,2)),VALUE(LEFT(F385,2)))</f>
        <v>45497</v>
      </c>
      <c r="H385" s="8" t="s">
        <v>1415</v>
      </c>
      <c r="I385" s="9" t="n">
        <f aca="false">DATE(2000+VALUE(MID(H385,7,2)),VALUE(MID(H385,4,2)),VALUE(LEFT(H385,2)))</f>
        <v>45499</v>
      </c>
      <c r="J385" s="9"/>
      <c r="K385" s="10" t="n">
        <v>1100000</v>
      </c>
      <c r="L385" s="10" t="n">
        <v>0</v>
      </c>
      <c r="M385" s="10" t="n">
        <v>1100000</v>
      </c>
      <c r="N385" s="10" t="n">
        <v>0</v>
      </c>
      <c r="O385" s="10" t="n">
        <v>0</v>
      </c>
      <c r="P385" s="10" t="n">
        <v>0</v>
      </c>
      <c r="Q385" s="10" t="n">
        <v>1100000</v>
      </c>
      <c r="R385" s="10" t="n">
        <v>0</v>
      </c>
      <c r="S385" s="10" t="n">
        <v>0</v>
      </c>
      <c r="T385" s="7"/>
      <c r="U385" s="7"/>
      <c r="V385" s="7"/>
      <c r="W385" s="7" t="s">
        <v>43</v>
      </c>
      <c r="X385" s="7"/>
      <c r="Y385" s="7" t="s">
        <v>37</v>
      </c>
      <c r="Z385" s="7" t="s">
        <v>1422</v>
      </c>
      <c r="AA385" s="7"/>
      <c r="AB385" s="10" t="n">
        <v>550000</v>
      </c>
      <c r="AC385" s="10" t="n">
        <v>2</v>
      </c>
    </row>
    <row r="386" customFormat="false" ht="15.75" hidden="true" customHeight="true" outlineLevel="0" collapsed="false">
      <c r="A386" s="6"/>
      <c r="B386" s="7" t="s">
        <v>1344</v>
      </c>
      <c r="C386" s="7" t="s">
        <v>60</v>
      </c>
      <c r="D386" s="7" t="s">
        <v>61</v>
      </c>
      <c r="E386" s="7" t="s">
        <v>202</v>
      </c>
      <c r="F386" s="8" t="s">
        <v>1404</v>
      </c>
      <c r="G386" s="9" t="n">
        <f aca="false">DATE(2000+VALUE(MID(F386,7,2)),VALUE(MID(F386,4,2)),VALUE(LEFT(F386,2)))</f>
        <v>45497</v>
      </c>
      <c r="H386" s="8" t="s">
        <v>1415</v>
      </c>
      <c r="I386" s="9" t="n">
        <f aca="false">DATE(2000+VALUE(MID(H386,7,2)),VALUE(MID(H386,4,2)),VALUE(LEFT(H386,2)))</f>
        <v>45499</v>
      </c>
      <c r="J386" s="9"/>
      <c r="K386" s="10" t="n">
        <v>1006000</v>
      </c>
      <c r="L386" s="10" t="n">
        <v>0</v>
      </c>
      <c r="M386" s="10" t="n">
        <v>1006000</v>
      </c>
      <c r="N386" s="10" t="n">
        <v>0</v>
      </c>
      <c r="O386" s="10" t="n">
        <v>0</v>
      </c>
      <c r="P386" s="10" t="n">
        <v>0</v>
      </c>
      <c r="Q386" s="10" t="n">
        <v>1006000</v>
      </c>
      <c r="R386" s="10" t="n">
        <v>0</v>
      </c>
      <c r="S386" s="10" t="n">
        <v>0</v>
      </c>
      <c r="T386" s="7"/>
      <c r="U386" s="7"/>
      <c r="V386" s="7"/>
      <c r="W386" s="7" t="s">
        <v>43</v>
      </c>
      <c r="X386" s="7"/>
      <c r="Y386" s="7" t="s">
        <v>37</v>
      </c>
      <c r="Z386" s="7" t="s">
        <v>1423</v>
      </c>
      <c r="AA386" s="7"/>
      <c r="AB386" s="10" t="n">
        <v>503000</v>
      </c>
      <c r="AC386" s="10" t="n">
        <v>2</v>
      </c>
    </row>
    <row r="387" customFormat="false" ht="15.75" hidden="true" customHeight="true" outlineLevel="0" collapsed="false">
      <c r="A387" s="6"/>
      <c r="B387" s="7" t="s">
        <v>1108</v>
      </c>
      <c r="C387" s="7" t="s">
        <v>71</v>
      </c>
      <c r="D387" s="7" t="s">
        <v>92</v>
      </c>
      <c r="E387" s="7" t="s">
        <v>1424</v>
      </c>
      <c r="F387" s="8" t="s">
        <v>1425</v>
      </c>
      <c r="G387" s="9" t="n">
        <f aca="false">DATE(2000+VALUE(MID(F387,7,2)),VALUE(MID(F387,4,2)),VALUE(LEFT(F387,2)))</f>
        <v>45497</v>
      </c>
      <c r="H387" s="8" t="s">
        <v>1415</v>
      </c>
      <c r="I387" s="9" t="n">
        <f aca="false">DATE(2000+VALUE(MID(H387,7,2)),VALUE(MID(H387,4,2)),VALUE(LEFT(H387,2)))</f>
        <v>45499</v>
      </c>
      <c r="J387" s="9"/>
      <c r="K387" s="10" t="n">
        <v>1300000</v>
      </c>
      <c r="L387" s="10" t="n">
        <v>200000</v>
      </c>
      <c r="M387" s="10" t="n">
        <v>1500000</v>
      </c>
      <c r="N387" s="10" t="n">
        <v>0</v>
      </c>
      <c r="O387" s="10" t="n">
        <v>0</v>
      </c>
      <c r="P387" s="10" t="n">
        <v>0</v>
      </c>
      <c r="Q387" s="10" t="n">
        <v>1500000</v>
      </c>
      <c r="R387" s="10" t="n">
        <v>0</v>
      </c>
      <c r="S387" s="10" t="n">
        <v>0</v>
      </c>
      <c r="T387" s="7"/>
      <c r="U387" s="7"/>
      <c r="V387" s="7"/>
      <c r="W387" s="7" t="s">
        <v>43</v>
      </c>
      <c r="X387" s="7"/>
      <c r="Y387" s="7" t="s">
        <v>37</v>
      </c>
      <c r="Z387" s="7" t="s">
        <v>1426</v>
      </c>
      <c r="AA387" s="7"/>
      <c r="AB387" s="10" t="n">
        <v>650000</v>
      </c>
      <c r="AC387" s="10" t="n">
        <v>2</v>
      </c>
    </row>
    <row r="388" customFormat="false" ht="15.75" hidden="true" customHeight="true" outlineLevel="0" collapsed="false">
      <c r="A388" s="6"/>
      <c r="B388" s="7" t="s">
        <v>1245</v>
      </c>
      <c r="C388" s="7" t="s">
        <v>31</v>
      </c>
      <c r="D388" s="7" t="s">
        <v>45</v>
      </c>
      <c r="E388" s="7" t="s">
        <v>1427</v>
      </c>
      <c r="F388" s="8" t="s">
        <v>1399</v>
      </c>
      <c r="G388" s="9" t="n">
        <f aca="false">DATE(2000+VALUE(MID(F388,7,2)),VALUE(MID(F388,4,2)),VALUE(LEFT(F388,2)))</f>
        <v>45498</v>
      </c>
      <c r="H388" s="8" t="s">
        <v>1415</v>
      </c>
      <c r="I388" s="9" t="n">
        <f aca="false">DATE(2000+VALUE(MID(H388,7,2)),VALUE(MID(H388,4,2)),VALUE(LEFT(H388,2)))</f>
        <v>45499</v>
      </c>
      <c r="J388" s="9"/>
      <c r="K388" s="10" t="n">
        <v>585000</v>
      </c>
      <c r="L388" s="10" t="n">
        <v>200000</v>
      </c>
      <c r="M388" s="10" t="n">
        <v>785000</v>
      </c>
      <c r="N388" s="10" t="n">
        <v>0</v>
      </c>
      <c r="O388" s="10" t="n">
        <v>200000</v>
      </c>
      <c r="P388" s="10" t="n">
        <v>0</v>
      </c>
      <c r="Q388" s="10" t="n">
        <v>585000</v>
      </c>
      <c r="R388" s="10" t="n">
        <v>0</v>
      </c>
      <c r="S388" s="10" t="n">
        <v>0</v>
      </c>
      <c r="T388" s="7"/>
      <c r="U388" s="7"/>
      <c r="V388" s="7"/>
      <c r="W388" s="7" t="s">
        <v>43</v>
      </c>
      <c r="X388" s="7"/>
      <c r="Y388" s="7" t="s">
        <v>37</v>
      </c>
      <c r="Z388" s="7" t="s">
        <v>1428</v>
      </c>
      <c r="AA388" s="7"/>
      <c r="AB388" s="10" t="n">
        <v>585000</v>
      </c>
      <c r="AC388" s="10" t="n">
        <v>1</v>
      </c>
    </row>
    <row r="389" customFormat="false" ht="15.75" hidden="true" customHeight="true" outlineLevel="0" collapsed="false">
      <c r="A389" s="6"/>
      <c r="B389" s="7" t="s">
        <v>1344</v>
      </c>
      <c r="C389" s="7" t="s">
        <v>31</v>
      </c>
      <c r="D389" s="7" t="s">
        <v>337</v>
      </c>
      <c r="E389" s="7" t="s">
        <v>202</v>
      </c>
      <c r="F389" s="8" t="s">
        <v>1404</v>
      </c>
      <c r="G389" s="9" t="n">
        <f aca="false">DATE(2000+VALUE(MID(F389,7,2)),VALUE(MID(F389,4,2)),VALUE(LEFT(F389,2)))</f>
        <v>45497</v>
      </c>
      <c r="H389" s="8" t="s">
        <v>1429</v>
      </c>
      <c r="I389" s="9" t="n">
        <f aca="false">DATE(2000+VALUE(MID(H389,7,2)),VALUE(MID(H389,4,2)),VALUE(LEFT(H389,2)))</f>
        <v>45499</v>
      </c>
      <c r="J389" s="9"/>
      <c r="K389" s="10" t="n">
        <v>1100000</v>
      </c>
      <c r="L389" s="10" t="n">
        <v>0</v>
      </c>
      <c r="M389" s="10" t="n">
        <v>1100000</v>
      </c>
      <c r="N389" s="10" t="n">
        <v>0</v>
      </c>
      <c r="O389" s="10" t="n">
        <v>0</v>
      </c>
      <c r="P389" s="10" t="n">
        <v>0</v>
      </c>
      <c r="Q389" s="10" t="n">
        <v>2200000</v>
      </c>
      <c r="R389" s="10" t="n">
        <v>0</v>
      </c>
      <c r="S389" s="10" t="n">
        <v>-1100000</v>
      </c>
      <c r="T389" s="7"/>
      <c r="U389" s="7"/>
      <c r="V389" s="7"/>
      <c r="W389" s="7" t="s">
        <v>43</v>
      </c>
      <c r="X389" s="7"/>
      <c r="Y389" s="7" t="s">
        <v>37</v>
      </c>
      <c r="Z389" s="7" t="s">
        <v>1430</v>
      </c>
      <c r="AA389" s="7"/>
      <c r="AB389" s="10" t="n">
        <v>550000</v>
      </c>
      <c r="AC389" s="10" t="n">
        <v>2</v>
      </c>
    </row>
    <row r="390" customFormat="false" ht="15.75" hidden="true" customHeight="true" outlineLevel="0" collapsed="false">
      <c r="A390" s="6"/>
      <c r="B390" s="7" t="s">
        <v>1108</v>
      </c>
      <c r="C390" s="7" t="s">
        <v>31</v>
      </c>
      <c r="D390" s="7" t="s">
        <v>105</v>
      </c>
      <c r="E390" s="7" t="s">
        <v>202</v>
      </c>
      <c r="F390" s="8" t="s">
        <v>1425</v>
      </c>
      <c r="G390" s="9" t="n">
        <f aca="false">DATE(2000+VALUE(MID(F390,7,2)),VALUE(MID(F390,4,2)),VALUE(LEFT(F390,2)))</f>
        <v>45497</v>
      </c>
      <c r="H390" s="8" t="s">
        <v>1431</v>
      </c>
      <c r="I390" s="9" t="n">
        <f aca="false">DATE(2000+VALUE(MID(H390,7,2)),VALUE(MID(H390,4,2)),VALUE(LEFT(H390,2)))</f>
        <v>45499</v>
      </c>
      <c r="J390" s="9"/>
      <c r="K390" s="10" t="n">
        <v>1600000</v>
      </c>
      <c r="L390" s="10" t="n">
        <v>0</v>
      </c>
      <c r="M390" s="10" t="n">
        <v>1600000</v>
      </c>
      <c r="N390" s="10" t="n">
        <v>0</v>
      </c>
      <c r="O390" s="10" t="n">
        <v>0</v>
      </c>
      <c r="P390" s="10" t="n">
        <v>0</v>
      </c>
      <c r="Q390" s="10" t="n">
        <v>1600000</v>
      </c>
      <c r="R390" s="10" t="n">
        <v>0</v>
      </c>
      <c r="S390" s="10" t="n">
        <v>0</v>
      </c>
      <c r="T390" s="7"/>
      <c r="U390" s="7"/>
      <c r="V390" s="7"/>
      <c r="W390" s="7" t="s">
        <v>43</v>
      </c>
      <c r="X390" s="7"/>
      <c r="Y390" s="7" t="s">
        <v>37</v>
      </c>
      <c r="Z390" s="7" t="s">
        <v>1432</v>
      </c>
      <c r="AA390" s="7"/>
      <c r="AB390" s="10" t="n">
        <v>800000</v>
      </c>
      <c r="AC390" s="10" t="n">
        <v>2</v>
      </c>
    </row>
    <row r="391" customFormat="false" ht="15.75" hidden="true" customHeight="true" outlineLevel="0" collapsed="false">
      <c r="A391" s="6"/>
      <c r="B391" s="7" t="s">
        <v>1167</v>
      </c>
      <c r="C391" s="7" t="s">
        <v>60</v>
      </c>
      <c r="D391" s="7" t="s">
        <v>61</v>
      </c>
      <c r="E391" s="7" t="s">
        <v>1433</v>
      </c>
      <c r="F391" s="8" t="s">
        <v>1434</v>
      </c>
      <c r="G391" s="9" t="n">
        <f aca="false">DATE(2000+VALUE(MID(F391,7,2)),VALUE(MID(F391,4,2)),VALUE(LEFT(F391,2)))</f>
        <v>45499</v>
      </c>
      <c r="H391" s="8" t="s">
        <v>1435</v>
      </c>
      <c r="I391" s="9" t="n">
        <f aca="false">DATE(2000+VALUE(MID(H391,7,2)),VALUE(MID(H391,4,2)),VALUE(LEFT(H391,2)))</f>
        <v>45500</v>
      </c>
      <c r="J391" s="9"/>
      <c r="K391" s="10" t="n">
        <v>712080</v>
      </c>
      <c r="L391" s="10" t="n">
        <v>0</v>
      </c>
      <c r="M391" s="10" t="n">
        <v>712080</v>
      </c>
      <c r="N391" s="10" t="n">
        <v>0</v>
      </c>
      <c r="O391" s="10" t="n">
        <v>0</v>
      </c>
      <c r="P391" s="10" t="n">
        <v>0</v>
      </c>
      <c r="Q391" s="10" t="n">
        <v>0</v>
      </c>
      <c r="R391" s="10" t="n">
        <v>712080</v>
      </c>
      <c r="S391" s="10" t="n">
        <v>0</v>
      </c>
      <c r="T391" s="7"/>
      <c r="U391" s="7"/>
      <c r="V391" s="7"/>
      <c r="W391" s="7" t="s">
        <v>49</v>
      </c>
      <c r="X391" s="7"/>
      <c r="Y391" s="7" t="s">
        <v>37</v>
      </c>
      <c r="Z391" s="7" t="s">
        <v>1436</v>
      </c>
      <c r="AA391" s="7" t="s">
        <v>1437</v>
      </c>
      <c r="AB391" s="10" t="n">
        <v>712080</v>
      </c>
      <c r="AC391" s="10" t="n">
        <v>1</v>
      </c>
    </row>
    <row r="392" customFormat="false" ht="15.75" hidden="true" customHeight="true" outlineLevel="0" collapsed="false">
      <c r="A392" s="6"/>
      <c r="B392" s="7" t="s">
        <v>1160</v>
      </c>
      <c r="C392" s="7" t="s">
        <v>60</v>
      </c>
      <c r="D392" s="7" t="s">
        <v>164</v>
      </c>
      <c r="E392" s="7" t="s">
        <v>1438</v>
      </c>
      <c r="F392" s="8" t="s">
        <v>1439</v>
      </c>
      <c r="G392" s="9" t="n">
        <f aca="false">DATE(2000+VALUE(MID(F392,7,2)),VALUE(MID(F392,4,2)),VALUE(LEFT(F392,2)))</f>
        <v>45499</v>
      </c>
      <c r="H392" s="8" t="s">
        <v>1440</v>
      </c>
      <c r="I392" s="9" t="n">
        <f aca="false">DATE(2000+VALUE(MID(H392,7,2)),VALUE(MID(H392,4,2)),VALUE(LEFT(H392,2)))</f>
        <v>45500</v>
      </c>
      <c r="J392" s="9"/>
      <c r="K392" s="10" t="n">
        <v>549000</v>
      </c>
      <c r="L392" s="10" t="n">
        <v>0</v>
      </c>
      <c r="M392" s="10" t="n">
        <v>549000</v>
      </c>
      <c r="N392" s="10" t="n">
        <v>0</v>
      </c>
      <c r="O392" s="10" t="n">
        <v>0</v>
      </c>
      <c r="P392" s="10" t="n">
        <v>0</v>
      </c>
      <c r="Q392" s="10" t="n">
        <v>549000</v>
      </c>
      <c r="R392" s="10" t="n">
        <v>0</v>
      </c>
      <c r="S392" s="10" t="n">
        <v>0</v>
      </c>
      <c r="T392" s="7"/>
      <c r="U392" s="7"/>
      <c r="V392" s="7"/>
      <c r="W392" s="7" t="s">
        <v>43</v>
      </c>
      <c r="X392" s="7"/>
      <c r="Y392" s="7" t="s">
        <v>37</v>
      </c>
      <c r="Z392" s="7" t="s">
        <v>1441</v>
      </c>
      <c r="AA392" s="7"/>
      <c r="AB392" s="10" t="n">
        <v>549000</v>
      </c>
      <c r="AC392" s="10" t="n">
        <v>1</v>
      </c>
    </row>
    <row r="393" customFormat="false" ht="15.75" hidden="true" customHeight="true" outlineLevel="0" collapsed="false">
      <c r="A393" s="6"/>
      <c r="B393" s="7" t="s">
        <v>1170</v>
      </c>
      <c r="C393" s="7" t="s">
        <v>71</v>
      </c>
      <c r="D393" s="7" t="s">
        <v>72</v>
      </c>
      <c r="E393" s="7" t="s">
        <v>1442</v>
      </c>
      <c r="F393" s="8" t="s">
        <v>1443</v>
      </c>
      <c r="G393" s="9" t="n">
        <f aca="false">DATE(2000+VALUE(MID(F393,7,2)),VALUE(MID(F393,4,2)),VALUE(LEFT(F393,2)))</f>
        <v>45499</v>
      </c>
      <c r="H393" s="8" t="s">
        <v>1444</v>
      </c>
      <c r="I393" s="9" t="n">
        <f aca="false">DATE(2000+VALUE(MID(H393,7,2)),VALUE(MID(H393,4,2)),VALUE(LEFT(H393,2)))</f>
        <v>45500</v>
      </c>
      <c r="J393" s="9"/>
      <c r="K393" s="10" t="n">
        <v>749000</v>
      </c>
      <c r="L393" s="10" t="n">
        <v>0</v>
      </c>
      <c r="M393" s="10" t="n">
        <v>749000</v>
      </c>
      <c r="N393" s="10" t="n">
        <v>0</v>
      </c>
      <c r="O393" s="10" t="n">
        <v>0</v>
      </c>
      <c r="P393" s="10" t="n">
        <v>0</v>
      </c>
      <c r="Q393" s="10" t="n">
        <v>749000</v>
      </c>
      <c r="R393" s="10" t="n">
        <v>0</v>
      </c>
      <c r="S393" s="10" t="n">
        <v>0</v>
      </c>
      <c r="T393" s="7"/>
      <c r="U393" s="7"/>
      <c r="V393" s="7"/>
      <c r="W393" s="7" t="s">
        <v>43</v>
      </c>
      <c r="X393" s="7"/>
      <c r="Y393" s="7" t="s">
        <v>37</v>
      </c>
      <c r="Z393" s="7" t="s">
        <v>1445</v>
      </c>
      <c r="AA393" s="7"/>
      <c r="AB393" s="10" t="n">
        <v>749000</v>
      </c>
      <c r="AC393" s="10" t="n">
        <v>1</v>
      </c>
    </row>
    <row r="394" customFormat="false" ht="15.75" hidden="true" customHeight="true" outlineLevel="0" collapsed="false">
      <c r="A394" s="6"/>
      <c r="B394" s="7" t="s">
        <v>1446</v>
      </c>
      <c r="C394" s="7" t="s">
        <v>71</v>
      </c>
      <c r="D394" s="7" t="s">
        <v>914</v>
      </c>
      <c r="E394" s="7" t="s">
        <v>1447</v>
      </c>
      <c r="F394" s="8" t="s">
        <v>1448</v>
      </c>
      <c r="G394" s="9" t="n">
        <f aca="false">DATE(2000+VALUE(MID(F394,7,2)),VALUE(MID(F394,4,2)),VALUE(LEFT(F394,2)))</f>
        <v>45500</v>
      </c>
      <c r="H394" s="8" t="s">
        <v>1449</v>
      </c>
      <c r="I394" s="9" t="n">
        <f aca="false">DATE(2000+VALUE(MID(H394,7,2)),VALUE(MID(H394,4,2)),VALUE(LEFT(H394,2)))</f>
        <v>45501</v>
      </c>
      <c r="J394" s="9"/>
      <c r="K394" s="10" t="n">
        <v>700000</v>
      </c>
      <c r="L394" s="10" t="n">
        <v>0</v>
      </c>
      <c r="M394" s="10" t="n">
        <v>700000</v>
      </c>
      <c r="N394" s="10" t="n">
        <v>0</v>
      </c>
      <c r="O394" s="10" t="n">
        <v>0</v>
      </c>
      <c r="P394" s="10" t="n">
        <v>0</v>
      </c>
      <c r="Q394" s="10" t="n">
        <v>700000</v>
      </c>
      <c r="R394" s="10" t="n">
        <v>0</v>
      </c>
      <c r="S394" s="10" t="n">
        <v>0</v>
      </c>
      <c r="T394" s="7"/>
      <c r="U394" s="7"/>
      <c r="V394" s="7"/>
      <c r="W394" s="7" t="s">
        <v>43</v>
      </c>
      <c r="X394" s="7"/>
      <c r="Y394" s="7" t="s">
        <v>37</v>
      </c>
      <c r="Z394" s="7" t="s">
        <v>1450</v>
      </c>
      <c r="AA394" s="7"/>
      <c r="AB394" s="10" t="n">
        <v>700000</v>
      </c>
      <c r="AC394" s="10" t="n">
        <v>1</v>
      </c>
    </row>
    <row r="395" customFormat="false" ht="15.75" hidden="true" customHeight="true" outlineLevel="0" collapsed="false">
      <c r="A395" s="6"/>
      <c r="B395" s="7" t="s">
        <v>1446</v>
      </c>
      <c r="C395" s="7" t="s">
        <v>31</v>
      </c>
      <c r="D395" s="7" t="s">
        <v>32</v>
      </c>
      <c r="E395" s="7" t="s">
        <v>202</v>
      </c>
      <c r="F395" s="8" t="s">
        <v>1448</v>
      </c>
      <c r="G395" s="9" t="n">
        <f aca="false">DATE(2000+VALUE(MID(F395,7,2)),VALUE(MID(F395,4,2)),VALUE(LEFT(F395,2)))</f>
        <v>45500</v>
      </c>
      <c r="H395" s="8" t="s">
        <v>1449</v>
      </c>
      <c r="I395" s="9" t="n">
        <f aca="false">DATE(2000+VALUE(MID(H395,7,2)),VALUE(MID(H395,4,2)),VALUE(LEFT(H395,2)))</f>
        <v>45501</v>
      </c>
      <c r="J395" s="9"/>
      <c r="K395" s="10" t="n">
        <v>900000</v>
      </c>
      <c r="L395" s="10" t="n">
        <v>0</v>
      </c>
      <c r="M395" s="10" t="n">
        <v>900000</v>
      </c>
      <c r="N395" s="10" t="n">
        <v>0</v>
      </c>
      <c r="O395" s="10" t="n">
        <v>0</v>
      </c>
      <c r="P395" s="10" t="n">
        <v>0</v>
      </c>
      <c r="Q395" s="10" t="n">
        <v>900000</v>
      </c>
      <c r="R395" s="10" t="n">
        <v>0</v>
      </c>
      <c r="S395" s="10" t="n">
        <v>0</v>
      </c>
      <c r="T395" s="7"/>
      <c r="U395" s="7"/>
      <c r="V395" s="7"/>
      <c r="W395" s="7" t="s">
        <v>43</v>
      </c>
      <c r="X395" s="7"/>
      <c r="Y395" s="7" t="s">
        <v>37</v>
      </c>
      <c r="Z395" s="7" t="s">
        <v>1451</v>
      </c>
      <c r="AA395" s="7"/>
      <c r="AB395" s="10" t="n">
        <v>900000</v>
      </c>
      <c r="AC395" s="10" t="n">
        <v>1</v>
      </c>
    </row>
    <row r="396" customFormat="false" ht="15.75" hidden="true" customHeight="true" outlineLevel="0" collapsed="false">
      <c r="A396" s="6"/>
      <c r="B396" s="7" t="s">
        <v>1144</v>
      </c>
      <c r="C396" s="7" t="s">
        <v>60</v>
      </c>
      <c r="D396" s="7" t="s">
        <v>173</v>
      </c>
      <c r="E396" s="7" t="s">
        <v>330</v>
      </c>
      <c r="F396" s="8" t="s">
        <v>1452</v>
      </c>
      <c r="G396" s="9" t="n">
        <f aca="false">DATE(2000+VALUE(MID(F396,7,2)),VALUE(MID(F396,4,2)),VALUE(LEFT(F396,2)))</f>
        <v>45499</v>
      </c>
      <c r="H396" s="8" t="s">
        <v>1453</v>
      </c>
      <c r="I396" s="9" t="n">
        <f aca="false">DATE(2000+VALUE(MID(H396,7,2)),VALUE(MID(H396,4,2)),VALUE(LEFT(H396,2)))</f>
        <v>45501</v>
      </c>
      <c r="J396" s="9"/>
      <c r="K396" s="10" t="n">
        <v>1298000</v>
      </c>
      <c r="L396" s="10" t="n">
        <v>0</v>
      </c>
      <c r="M396" s="10" t="n">
        <v>1298000</v>
      </c>
      <c r="N396" s="10" t="n">
        <v>0</v>
      </c>
      <c r="O396" s="10" t="n">
        <v>1298000</v>
      </c>
      <c r="P396" s="10" t="n">
        <v>0</v>
      </c>
      <c r="Q396" s="10" t="n">
        <v>0</v>
      </c>
      <c r="R396" s="10" t="n">
        <v>0</v>
      </c>
      <c r="S396" s="10" t="n">
        <v>0</v>
      </c>
      <c r="T396" s="7"/>
      <c r="U396" s="7"/>
      <c r="V396" s="7"/>
      <c r="W396" s="7" t="s">
        <v>43</v>
      </c>
      <c r="X396" s="7"/>
      <c r="Y396" s="7" t="s">
        <v>37</v>
      </c>
      <c r="Z396" s="7" t="s">
        <v>1454</v>
      </c>
      <c r="AA396" s="7"/>
      <c r="AB396" s="10" t="n">
        <v>649000</v>
      </c>
      <c r="AC396" s="10" t="n">
        <v>2</v>
      </c>
    </row>
    <row r="397" customFormat="false" ht="15.75" hidden="true" customHeight="true" outlineLevel="0" collapsed="false">
      <c r="A397" s="6"/>
      <c r="B397" s="7" t="s">
        <v>1175</v>
      </c>
      <c r="C397" s="7" t="s">
        <v>71</v>
      </c>
      <c r="D397" s="7" t="s">
        <v>72</v>
      </c>
      <c r="E397" s="7" t="s">
        <v>1455</v>
      </c>
      <c r="F397" s="8" t="s">
        <v>1456</v>
      </c>
      <c r="G397" s="9" t="n">
        <f aca="false">DATE(2000+VALUE(MID(F397,7,2)),VALUE(MID(F397,4,2)),VALUE(LEFT(F397,2)))</f>
        <v>45500</v>
      </c>
      <c r="H397" s="8" t="s">
        <v>1453</v>
      </c>
      <c r="I397" s="9" t="n">
        <f aca="false">DATE(2000+VALUE(MID(H397,7,2)),VALUE(MID(H397,4,2)),VALUE(LEFT(H397,2)))</f>
        <v>45501</v>
      </c>
      <c r="J397" s="9"/>
      <c r="K397" s="10" t="n">
        <v>555750</v>
      </c>
      <c r="L397" s="10" t="n">
        <v>0</v>
      </c>
      <c r="M397" s="10" t="n">
        <v>555750</v>
      </c>
      <c r="N397" s="10" t="n">
        <v>0</v>
      </c>
      <c r="O397" s="10" t="n">
        <v>0</v>
      </c>
      <c r="P397" s="10" t="n">
        <v>0</v>
      </c>
      <c r="Q397" s="10" t="n">
        <v>0</v>
      </c>
      <c r="R397" s="10" t="n">
        <v>555750</v>
      </c>
      <c r="S397" s="10" t="n">
        <v>0</v>
      </c>
      <c r="T397" s="7"/>
      <c r="U397" s="7"/>
      <c r="V397" s="7"/>
      <c r="W397" s="7" t="s">
        <v>222</v>
      </c>
      <c r="X397" s="7"/>
      <c r="Y397" s="7" t="s">
        <v>37</v>
      </c>
      <c r="Z397" s="7" t="s">
        <v>1457</v>
      </c>
      <c r="AA397" s="7"/>
      <c r="AB397" s="10" t="n">
        <v>555750</v>
      </c>
      <c r="AC397" s="10" t="n">
        <v>1</v>
      </c>
    </row>
    <row r="398" customFormat="false" ht="15.75" hidden="true" customHeight="true" outlineLevel="0" collapsed="false">
      <c r="A398" s="6"/>
      <c r="B398" s="7" t="s">
        <v>1206</v>
      </c>
      <c r="C398" s="7" t="s">
        <v>31</v>
      </c>
      <c r="D398" s="7" t="s">
        <v>361</v>
      </c>
      <c r="E398" s="7" t="s">
        <v>1458</v>
      </c>
      <c r="F398" s="8" t="s">
        <v>1456</v>
      </c>
      <c r="G398" s="9" t="n">
        <f aca="false">DATE(2000+VALUE(MID(F398,7,2)),VALUE(MID(F398,4,2)),VALUE(LEFT(F398,2)))</f>
        <v>45500</v>
      </c>
      <c r="H398" s="8" t="s">
        <v>1453</v>
      </c>
      <c r="I398" s="9" t="n">
        <f aca="false">DATE(2000+VALUE(MID(H398,7,2)),VALUE(MID(H398,4,2)),VALUE(LEFT(H398,2)))</f>
        <v>45501</v>
      </c>
      <c r="J398" s="9"/>
      <c r="K398" s="10" t="n">
        <v>750000</v>
      </c>
      <c r="L398" s="10" t="n">
        <v>0</v>
      </c>
      <c r="M398" s="10" t="n">
        <v>750000</v>
      </c>
      <c r="N398" s="10" t="n">
        <v>0</v>
      </c>
      <c r="O398" s="10" t="n">
        <v>750000</v>
      </c>
      <c r="P398" s="10" t="n">
        <v>0</v>
      </c>
      <c r="Q398" s="10" t="n">
        <v>0</v>
      </c>
      <c r="R398" s="10" t="n">
        <v>0</v>
      </c>
      <c r="S398" s="10" t="n">
        <v>0</v>
      </c>
      <c r="T398" s="7"/>
      <c r="U398" s="7"/>
      <c r="V398" s="7"/>
      <c r="W398" s="7" t="s">
        <v>43</v>
      </c>
      <c r="X398" s="7"/>
      <c r="Y398" s="7" t="s">
        <v>37</v>
      </c>
      <c r="Z398" s="7" t="s">
        <v>1459</v>
      </c>
      <c r="AA398" s="7"/>
      <c r="AB398" s="10" t="n">
        <v>750000</v>
      </c>
      <c r="AC398" s="10" t="n">
        <v>1</v>
      </c>
    </row>
    <row r="399" customFormat="false" ht="15.75" hidden="true" customHeight="true" outlineLevel="0" collapsed="false">
      <c r="A399" s="6"/>
      <c r="B399" s="7" t="s">
        <v>1178</v>
      </c>
      <c r="C399" s="7" t="s">
        <v>65</v>
      </c>
      <c r="D399" s="7" t="s">
        <v>156</v>
      </c>
      <c r="E399" s="7" t="s">
        <v>1460</v>
      </c>
      <c r="F399" s="8" t="s">
        <v>1461</v>
      </c>
      <c r="G399" s="9" t="n">
        <f aca="false">DATE(2000+VALUE(MID(F399,7,2)),VALUE(MID(F399,4,2)),VALUE(LEFT(F399,2)))</f>
        <v>45500</v>
      </c>
      <c r="H399" s="8" t="s">
        <v>1453</v>
      </c>
      <c r="I399" s="9" t="n">
        <f aca="false">DATE(2000+VALUE(MID(H399,7,2)),VALUE(MID(H399,4,2)),VALUE(LEFT(H399,2)))</f>
        <v>45501</v>
      </c>
      <c r="J399" s="9"/>
      <c r="K399" s="10" t="n">
        <v>649000</v>
      </c>
      <c r="L399" s="10" t="n">
        <v>0</v>
      </c>
      <c r="M399" s="10" t="n">
        <v>649000</v>
      </c>
      <c r="N399" s="10" t="n">
        <v>0</v>
      </c>
      <c r="O399" s="10" t="n">
        <v>0</v>
      </c>
      <c r="P399" s="10" t="n">
        <v>0</v>
      </c>
      <c r="Q399" s="10" t="n">
        <v>649000</v>
      </c>
      <c r="R399" s="10" t="n">
        <v>0</v>
      </c>
      <c r="S399" s="10" t="n">
        <v>0</v>
      </c>
      <c r="T399" s="7"/>
      <c r="U399" s="7"/>
      <c r="V399" s="7"/>
      <c r="W399" s="7" t="s">
        <v>43</v>
      </c>
      <c r="X399" s="7"/>
      <c r="Y399" s="7" t="s">
        <v>37</v>
      </c>
      <c r="Z399" s="7" t="s">
        <v>1462</v>
      </c>
      <c r="AA399" s="7" t="s">
        <v>1463</v>
      </c>
      <c r="AB399" s="10" t="n">
        <v>649000</v>
      </c>
      <c r="AC399" s="10" t="n">
        <v>1</v>
      </c>
    </row>
    <row r="400" customFormat="false" ht="15.75" hidden="true" customHeight="true" outlineLevel="0" collapsed="false">
      <c r="A400" s="6"/>
      <c r="B400" s="7" t="s">
        <v>1464</v>
      </c>
      <c r="C400" s="7" t="s">
        <v>71</v>
      </c>
      <c r="D400" s="7" t="s">
        <v>914</v>
      </c>
      <c r="E400" s="7" t="s">
        <v>1465</v>
      </c>
      <c r="F400" s="8" t="s">
        <v>1466</v>
      </c>
      <c r="G400" s="9" t="n">
        <f aca="false">DATE(2000+VALUE(MID(F400,7,2)),VALUE(MID(F400,4,2)),VALUE(LEFT(F400,2)))</f>
        <v>45501</v>
      </c>
      <c r="H400" s="8" t="s">
        <v>1467</v>
      </c>
      <c r="I400" s="9" t="n">
        <f aca="false">DATE(2000+VALUE(MID(H400,7,2)),VALUE(MID(H400,4,2)),VALUE(LEFT(H400,2)))</f>
        <v>45501</v>
      </c>
      <c r="J400" s="9"/>
      <c r="K400" s="10" t="n">
        <v>400000</v>
      </c>
      <c r="L400" s="10" t="n">
        <v>0</v>
      </c>
      <c r="M400" s="10" t="n">
        <v>400000</v>
      </c>
      <c r="N400" s="10" t="n">
        <v>0</v>
      </c>
      <c r="O400" s="10" t="n">
        <v>400000</v>
      </c>
      <c r="P400" s="10" t="n">
        <v>0</v>
      </c>
      <c r="Q400" s="10" t="n">
        <v>0</v>
      </c>
      <c r="R400" s="10" t="n">
        <v>0</v>
      </c>
      <c r="S400" s="10" t="n">
        <v>0</v>
      </c>
      <c r="T400" s="7"/>
      <c r="U400" s="7"/>
      <c r="V400" s="7"/>
      <c r="W400" s="7" t="s">
        <v>43</v>
      </c>
      <c r="X400" s="7"/>
      <c r="Y400" s="7" t="s">
        <v>37</v>
      </c>
      <c r="Z400" s="7" t="s">
        <v>1468</v>
      </c>
      <c r="AA400" s="7"/>
      <c r="AB400" s="10" t="n">
        <v>400000</v>
      </c>
      <c r="AC400" s="10" t="n">
        <v>1</v>
      </c>
    </row>
    <row r="401" customFormat="false" ht="15.75" hidden="true" customHeight="true" outlineLevel="0" collapsed="false">
      <c r="A401" s="6"/>
      <c r="B401" s="7" t="s">
        <v>1469</v>
      </c>
      <c r="C401" s="7" t="s">
        <v>60</v>
      </c>
      <c r="D401" s="7" t="s">
        <v>173</v>
      </c>
      <c r="E401" s="7" t="s">
        <v>1470</v>
      </c>
      <c r="F401" s="8" t="s">
        <v>1471</v>
      </c>
      <c r="G401" s="9" t="n">
        <f aca="false">DATE(2000+VALUE(MID(F401,7,2)),VALUE(MID(F401,4,2)),VALUE(LEFT(F401,2)))</f>
        <v>45501</v>
      </c>
      <c r="H401" s="8" t="s">
        <v>1472</v>
      </c>
      <c r="I401" s="9" t="n">
        <f aca="false">DATE(2000+VALUE(MID(H401,7,2)),VALUE(MID(H401,4,2)),VALUE(LEFT(H401,2)))</f>
        <v>45502</v>
      </c>
      <c r="J401" s="9"/>
      <c r="K401" s="10" t="n">
        <v>400000</v>
      </c>
      <c r="L401" s="10" t="n">
        <v>0</v>
      </c>
      <c r="M401" s="10" t="n">
        <v>400000</v>
      </c>
      <c r="N401" s="10" t="n">
        <v>0</v>
      </c>
      <c r="O401" s="10" t="n">
        <v>0</v>
      </c>
      <c r="P401" s="10" t="n">
        <v>0</v>
      </c>
      <c r="Q401" s="10" t="n">
        <v>400000</v>
      </c>
      <c r="R401" s="10" t="n">
        <v>0</v>
      </c>
      <c r="S401" s="10" t="n">
        <v>0</v>
      </c>
      <c r="T401" s="7"/>
      <c r="U401" s="7"/>
      <c r="V401" s="7"/>
      <c r="W401" s="7" t="s">
        <v>43</v>
      </c>
      <c r="X401" s="7"/>
      <c r="Y401" s="7" t="s">
        <v>37</v>
      </c>
      <c r="Z401" s="7" t="s">
        <v>1473</v>
      </c>
      <c r="AA401" s="7"/>
      <c r="AB401" s="10" t="n">
        <v>400000</v>
      </c>
      <c r="AC401" s="10" t="n">
        <v>1</v>
      </c>
    </row>
    <row r="402" customFormat="false" ht="15.75" hidden="true" customHeight="true" outlineLevel="0" collapsed="false">
      <c r="A402" s="6"/>
      <c r="B402" s="7" t="s">
        <v>1060</v>
      </c>
      <c r="C402" s="7" t="s">
        <v>71</v>
      </c>
      <c r="D402" s="7" t="s">
        <v>92</v>
      </c>
      <c r="E402" s="7" t="s">
        <v>376</v>
      </c>
      <c r="F402" s="8" t="s">
        <v>1456</v>
      </c>
      <c r="G402" s="9" t="n">
        <f aca="false">DATE(2000+VALUE(MID(F402,7,2)),VALUE(MID(F402,4,2)),VALUE(LEFT(F402,2)))</f>
        <v>45500</v>
      </c>
      <c r="H402" s="8" t="s">
        <v>1474</v>
      </c>
      <c r="I402" s="9" t="n">
        <f aca="false">DATE(2000+VALUE(MID(H402,7,2)),VALUE(MID(H402,4,2)),VALUE(LEFT(H402,2)))</f>
        <v>45502</v>
      </c>
      <c r="J402" s="9"/>
      <c r="K402" s="10" t="n">
        <v>1258000</v>
      </c>
      <c r="L402" s="10" t="n">
        <v>0</v>
      </c>
      <c r="M402" s="10" t="n">
        <v>1258000</v>
      </c>
      <c r="N402" s="10" t="n">
        <v>0</v>
      </c>
      <c r="O402" s="10" t="n">
        <v>0</v>
      </c>
      <c r="P402" s="10" t="n">
        <v>0</v>
      </c>
      <c r="Q402" s="10" t="n">
        <v>1258000</v>
      </c>
      <c r="R402" s="10" t="n">
        <v>0</v>
      </c>
      <c r="S402" s="10" t="n">
        <v>0</v>
      </c>
      <c r="T402" s="7"/>
      <c r="U402" s="7"/>
      <c r="V402" s="7"/>
      <c r="W402" s="7" t="s">
        <v>43</v>
      </c>
      <c r="X402" s="7"/>
      <c r="Y402" s="7" t="s">
        <v>37</v>
      </c>
      <c r="Z402" s="7" t="s">
        <v>1475</v>
      </c>
      <c r="AA402" s="7"/>
      <c r="AB402" s="10" t="n">
        <v>629000</v>
      </c>
      <c r="AC402" s="10" t="n">
        <v>2</v>
      </c>
    </row>
    <row r="403" customFormat="false" ht="15.75" hidden="true" customHeight="true" outlineLevel="0" collapsed="false">
      <c r="A403" s="6"/>
      <c r="B403" s="7" t="s">
        <v>1446</v>
      </c>
      <c r="C403" s="7" t="s">
        <v>31</v>
      </c>
      <c r="D403" s="7" t="s">
        <v>440</v>
      </c>
      <c r="E403" s="7" t="s">
        <v>202</v>
      </c>
      <c r="F403" s="8" t="s">
        <v>1448</v>
      </c>
      <c r="G403" s="9" t="n">
        <f aca="false">DATE(2000+VALUE(MID(F403,7,2)),VALUE(MID(F403,4,2)),VALUE(LEFT(F403,2)))</f>
        <v>45500</v>
      </c>
      <c r="H403" s="8" t="s">
        <v>1476</v>
      </c>
      <c r="I403" s="9" t="n">
        <f aca="false">DATE(2000+VALUE(MID(H403,7,2)),VALUE(MID(H403,4,2)),VALUE(LEFT(H403,2)))</f>
        <v>45502</v>
      </c>
      <c r="J403" s="9"/>
      <c r="K403" s="10" t="n">
        <v>1800000</v>
      </c>
      <c r="L403" s="10" t="n">
        <v>35000</v>
      </c>
      <c r="M403" s="10" t="n">
        <v>1835000</v>
      </c>
      <c r="N403" s="10" t="n">
        <v>0</v>
      </c>
      <c r="O403" s="10" t="n">
        <v>35000</v>
      </c>
      <c r="P403" s="10" t="n">
        <v>0</v>
      </c>
      <c r="Q403" s="10" t="n">
        <v>1800000</v>
      </c>
      <c r="R403" s="10" t="n">
        <v>0</v>
      </c>
      <c r="S403" s="10" t="n">
        <v>0</v>
      </c>
      <c r="T403" s="7"/>
      <c r="U403" s="7"/>
      <c r="V403" s="7"/>
      <c r="W403" s="7" t="s">
        <v>43</v>
      </c>
      <c r="X403" s="7"/>
      <c r="Y403" s="7" t="s">
        <v>37</v>
      </c>
      <c r="Z403" s="7" t="s">
        <v>1477</v>
      </c>
      <c r="AA403" s="7"/>
      <c r="AB403" s="10" t="n">
        <v>900000</v>
      </c>
      <c r="AC403" s="10" t="n">
        <v>2</v>
      </c>
    </row>
    <row r="404" customFormat="false" ht="15.75" hidden="true" customHeight="true" outlineLevel="0" collapsed="false">
      <c r="A404" s="6"/>
      <c r="B404" s="7" t="s">
        <v>1446</v>
      </c>
      <c r="C404" s="7" t="s">
        <v>31</v>
      </c>
      <c r="D404" s="7" t="s">
        <v>105</v>
      </c>
      <c r="E404" s="7" t="s">
        <v>202</v>
      </c>
      <c r="F404" s="8" t="s">
        <v>1448</v>
      </c>
      <c r="G404" s="9" t="n">
        <f aca="false">DATE(2000+VALUE(MID(F404,7,2)),VALUE(MID(F404,4,2)),VALUE(LEFT(F404,2)))</f>
        <v>45500</v>
      </c>
      <c r="H404" s="8" t="s">
        <v>1476</v>
      </c>
      <c r="I404" s="9" t="n">
        <f aca="false">DATE(2000+VALUE(MID(H404,7,2)),VALUE(MID(H404,4,2)),VALUE(LEFT(H404,2)))</f>
        <v>45502</v>
      </c>
      <c r="J404" s="9"/>
      <c r="K404" s="10" t="n">
        <v>1800000</v>
      </c>
      <c r="L404" s="10" t="n">
        <v>0</v>
      </c>
      <c r="M404" s="10" t="n">
        <v>1800000</v>
      </c>
      <c r="N404" s="10" t="n">
        <v>0</v>
      </c>
      <c r="O404" s="10" t="n">
        <v>0</v>
      </c>
      <c r="P404" s="10" t="n">
        <v>0</v>
      </c>
      <c r="Q404" s="10" t="n">
        <v>1800000</v>
      </c>
      <c r="R404" s="10" t="n">
        <v>0</v>
      </c>
      <c r="S404" s="10" t="n">
        <v>0</v>
      </c>
      <c r="T404" s="7"/>
      <c r="U404" s="7"/>
      <c r="V404" s="7"/>
      <c r="W404" s="7" t="s">
        <v>43</v>
      </c>
      <c r="X404" s="7"/>
      <c r="Y404" s="7" t="s">
        <v>37</v>
      </c>
      <c r="Z404" s="7" t="s">
        <v>1478</v>
      </c>
      <c r="AA404" s="7"/>
      <c r="AB404" s="10" t="n">
        <v>900000</v>
      </c>
      <c r="AC404" s="10" t="n">
        <v>2</v>
      </c>
    </row>
    <row r="405" customFormat="false" ht="15.75" hidden="true" customHeight="true" outlineLevel="0" collapsed="false">
      <c r="A405" s="6"/>
      <c r="B405" s="7" t="s">
        <v>1194</v>
      </c>
      <c r="C405" s="7" t="s">
        <v>60</v>
      </c>
      <c r="D405" s="7" t="s">
        <v>61</v>
      </c>
      <c r="E405" s="7" t="s">
        <v>1479</v>
      </c>
      <c r="F405" s="8" t="s">
        <v>1480</v>
      </c>
      <c r="G405" s="9" t="n">
        <f aca="false">DATE(2000+VALUE(MID(F405,7,2)),VALUE(MID(F405,4,2)),VALUE(LEFT(F405,2)))</f>
        <v>45500</v>
      </c>
      <c r="H405" s="8" t="s">
        <v>1481</v>
      </c>
      <c r="I405" s="9" t="n">
        <f aca="false">DATE(2000+VALUE(MID(H405,7,2)),VALUE(MID(H405,4,2)),VALUE(LEFT(H405,2)))</f>
        <v>45502</v>
      </c>
      <c r="J405" s="9"/>
      <c r="K405" s="10" t="n">
        <v>1300000</v>
      </c>
      <c r="L405" s="10" t="n">
        <v>0</v>
      </c>
      <c r="M405" s="10" t="n">
        <v>1300000</v>
      </c>
      <c r="N405" s="10" t="n">
        <v>0</v>
      </c>
      <c r="O405" s="10" t="n">
        <v>0</v>
      </c>
      <c r="P405" s="10" t="n">
        <v>0</v>
      </c>
      <c r="Q405" s="10" t="n">
        <v>1300000</v>
      </c>
      <c r="R405" s="10" t="n">
        <v>0</v>
      </c>
      <c r="S405" s="10" t="n">
        <v>0</v>
      </c>
      <c r="T405" s="7"/>
      <c r="U405" s="7"/>
      <c r="V405" s="7"/>
      <c r="W405" s="7" t="s">
        <v>43</v>
      </c>
      <c r="X405" s="7"/>
      <c r="Y405" s="7" t="s">
        <v>37</v>
      </c>
      <c r="Z405" s="7" t="s">
        <v>1482</v>
      </c>
      <c r="AA405" s="7"/>
      <c r="AB405" s="10" t="n">
        <v>650000</v>
      </c>
      <c r="AC405" s="10" t="n">
        <v>2</v>
      </c>
    </row>
    <row r="406" customFormat="false" ht="15.75" hidden="true" customHeight="true" outlineLevel="0" collapsed="false">
      <c r="A406" s="6"/>
      <c r="B406" s="7" t="s">
        <v>1186</v>
      </c>
      <c r="C406" s="7" t="s">
        <v>31</v>
      </c>
      <c r="D406" s="7" t="s">
        <v>45</v>
      </c>
      <c r="E406" s="7" t="s">
        <v>202</v>
      </c>
      <c r="F406" s="8" t="s">
        <v>1483</v>
      </c>
      <c r="G406" s="9" t="n">
        <f aca="false">DATE(2000+VALUE(MID(F406,7,2)),VALUE(MID(F406,4,2)),VALUE(LEFT(F406,2)))</f>
        <v>45499</v>
      </c>
      <c r="H406" s="8" t="s">
        <v>1484</v>
      </c>
      <c r="I406" s="9" t="n">
        <f aca="false">DATE(2000+VALUE(MID(H406,7,2)),VALUE(MID(H406,4,2)),VALUE(LEFT(H406,2)))</f>
        <v>45502</v>
      </c>
      <c r="J406" s="9"/>
      <c r="K406" s="10" t="n">
        <v>2700000</v>
      </c>
      <c r="L406" s="10" t="n">
        <v>0</v>
      </c>
      <c r="M406" s="10" t="n">
        <v>2700000</v>
      </c>
      <c r="N406" s="10" t="n">
        <v>0</v>
      </c>
      <c r="O406" s="10" t="n">
        <v>0</v>
      </c>
      <c r="P406" s="10" t="n">
        <v>0</v>
      </c>
      <c r="Q406" s="10" t="n">
        <v>2700000</v>
      </c>
      <c r="R406" s="10" t="n">
        <v>0</v>
      </c>
      <c r="S406" s="10" t="n">
        <v>0</v>
      </c>
      <c r="T406" s="7"/>
      <c r="U406" s="7"/>
      <c r="V406" s="7"/>
      <c r="W406" s="7" t="s">
        <v>43</v>
      </c>
      <c r="X406" s="7"/>
      <c r="Y406" s="7" t="s">
        <v>37</v>
      </c>
      <c r="Z406" s="7" t="s">
        <v>1485</v>
      </c>
      <c r="AA406" s="7"/>
      <c r="AB406" s="10" t="n">
        <v>900000</v>
      </c>
      <c r="AC406" s="10" t="n">
        <v>3</v>
      </c>
    </row>
    <row r="407" customFormat="false" ht="15.75" hidden="true" customHeight="true" outlineLevel="0" collapsed="false">
      <c r="A407" s="6"/>
      <c r="B407" s="7" t="s">
        <v>1186</v>
      </c>
      <c r="C407" s="7" t="s">
        <v>60</v>
      </c>
      <c r="D407" s="7" t="s">
        <v>116</v>
      </c>
      <c r="E407" s="7" t="s">
        <v>1486</v>
      </c>
      <c r="F407" s="8" t="s">
        <v>1487</v>
      </c>
      <c r="G407" s="9" t="n">
        <f aca="false">DATE(2000+VALUE(MID(F407,7,2)),VALUE(MID(F407,4,2)),VALUE(LEFT(F407,2)))</f>
        <v>45499</v>
      </c>
      <c r="H407" s="8" t="s">
        <v>1484</v>
      </c>
      <c r="I407" s="9" t="n">
        <f aca="false">DATE(2000+VALUE(MID(H407,7,2)),VALUE(MID(H407,4,2)),VALUE(LEFT(H407,2)))</f>
        <v>45502</v>
      </c>
      <c r="J407" s="9"/>
      <c r="K407" s="10" t="n">
        <v>1950000</v>
      </c>
      <c r="L407" s="10" t="n">
        <v>0</v>
      </c>
      <c r="M407" s="10" t="n">
        <v>1950000</v>
      </c>
      <c r="N407" s="10" t="n">
        <v>0</v>
      </c>
      <c r="O407" s="10" t="n">
        <v>0</v>
      </c>
      <c r="P407" s="10" t="n">
        <v>0</v>
      </c>
      <c r="Q407" s="10" t="n">
        <v>1950000</v>
      </c>
      <c r="R407" s="10" t="n">
        <v>0</v>
      </c>
      <c r="S407" s="10" t="n">
        <v>0</v>
      </c>
      <c r="T407" s="7"/>
      <c r="U407" s="7"/>
      <c r="V407" s="7"/>
      <c r="W407" s="7" t="s">
        <v>43</v>
      </c>
      <c r="X407" s="7"/>
      <c r="Y407" s="7" t="s">
        <v>37</v>
      </c>
      <c r="Z407" s="7" t="s">
        <v>1488</v>
      </c>
      <c r="AA407" s="7"/>
      <c r="AB407" s="10" t="n">
        <v>650000</v>
      </c>
      <c r="AC407" s="10" t="n">
        <v>3</v>
      </c>
    </row>
    <row r="408" customFormat="false" ht="15.75" hidden="true" customHeight="true" outlineLevel="0" collapsed="false">
      <c r="A408" s="6"/>
      <c r="B408" s="7" t="s">
        <v>1148</v>
      </c>
      <c r="C408" s="7" t="s">
        <v>65</v>
      </c>
      <c r="D408" s="7" t="s">
        <v>156</v>
      </c>
      <c r="E408" s="7" t="s">
        <v>1489</v>
      </c>
      <c r="F408" s="8" t="s">
        <v>1490</v>
      </c>
      <c r="G408" s="9" t="n">
        <f aca="false">DATE(2000+VALUE(MID(F408,7,2)),VALUE(MID(F408,4,2)),VALUE(LEFT(F408,2)))</f>
        <v>45501</v>
      </c>
      <c r="H408" s="8" t="s">
        <v>1491</v>
      </c>
      <c r="I408" s="9" t="n">
        <f aca="false">DATE(2000+VALUE(MID(H408,7,2)),VALUE(MID(H408,4,2)),VALUE(LEFT(H408,2)))</f>
        <v>45502</v>
      </c>
      <c r="J408" s="9"/>
      <c r="K408" s="10" t="n">
        <v>602640</v>
      </c>
      <c r="L408" s="10" t="n">
        <v>0</v>
      </c>
      <c r="M408" s="10" t="n">
        <v>602640</v>
      </c>
      <c r="N408" s="10" t="n">
        <v>0</v>
      </c>
      <c r="O408" s="10" t="n">
        <v>602640</v>
      </c>
      <c r="P408" s="10" t="n">
        <v>0</v>
      </c>
      <c r="Q408" s="10" t="n">
        <v>0</v>
      </c>
      <c r="R408" s="10" t="n">
        <v>0</v>
      </c>
      <c r="S408" s="10" t="n">
        <v>0</v>
      </c>
      <c r="T408" s="7"/>
      <c r="U408" s="7"/>
      <c r="V408" s="7"/>
      <c r="W408" s="7" t="s">
        <v>49</v>
      </c>
      <c r="X408" s="7"/>
      <c r="Y408" s="7" t="s">
        <v>37</v>
      </c>
      <c r="Z408" s="7" t="s">
        <v>1492</v>
      </c>
      <c r="AA408" s="7" t="s">
        <v>1493</v>
      </c>
      <c r="AB408" s="10" t="n">
        <v>602640</v>
      </c>
      <c r="AC408" s="10" t="n">
        <v>1</v>
      </c>
    </row>
    <row r="409" customFormat="false" ht="15.75" hidden="true" customHeight="true" outlineLevel="0" collapsed="false">
      <c r="A409" s="6"/>
      <c r="B409" s="7" t="s">
        <v>1231</v>
      </c>
      <c r="C409" s="7" t="s">
        <v>60</v>
      </c>
      <c r="D409" s="7" t="s">
        <v>116</v>
      </c>
      <c r="E409" s="7" t="s">
        <v>1494</v>
      </c>
      <c r="F409" s="8" t="s">
        <v>1495</v>
      </c>
      <c r="G409" s="9" t="n">
        <f aca="false">DATE(2000+VALUE(MID(F409,7,2)),VALUE(MID(F409,4,2)),VALUE(LEFT(F409,2)))</f>
        <v>45502</v>
      </c>
      <c r="H409" s="8" t="s">
        <v>1496</v>
      </c>
      <c r="I409" s="9" t="n">
        <f aca="false">DATE(2000+VALUE(MID(H409,7,2)),VALUE(MID(H409,4,2)),VALUE(LEFT(H409,2)))</f>
        <v>45503</v>
      </c>
      <c r="J409" s="9"/>
      <c r="K409" s="10" t="n">
        <v>602640</v>
      </c>
      <c r="L409" s="10" t="n">
        <v>0</v>
      </c>
      <c r="M409" s="10" t="n">
        <v>602640</v>
      </c>
      <c r="N409" s="10" t="n">
        <v>0</v>
      </c>
      <c r="O409" s="10" t="n">
        <v>0</v>
      </c>
      <c r="P409" s="10" t="n">
        <v>0</v>
      </c>
      <c r="Q409" s="10" t="n">
        <v>0</v>
      </c>
      <c r="R409" s="10" t="n">
        <v>602640</v>
      </c>
      <c r="S409" s="10" t="n">
        <v>0</v>
      </c>
      <c r="T409" s="7"/>
      <c r="U409" s="7"/>
      <c r="V409" s="7"/>
      <c r="W409" s="7" t="s">
        <v>49</v>
      </c>
      <c r="X409" s="7"/>
      <c r="Y409" s="7" t="s">
        <v>37</v>
      </c>
      <c r="Z409" s="7" t="s">
        <v>1497</v>
      </c>
      <c r="AA409" s="7" t="s">
        <v>1498</v>
      </c>
      <c r="AB409" s="10" t="n">
        <v>602640</v>
      </c>
      <c r="AC409" s="10" t="n">
        <v>1</v>
      </c>
    </row>
    <row r="410" customFormat="false" ht="15.75" hidden="true" customHeight="true" outlineLevel="0" collapsed="false">
      <c r="A410" s="6"/>
      <c r="B410" s="7" t="s">
        <v>1203</v>
      </c>
      <c r="C410" s="7" t="s">
        <v>60</v>
      </c>
      <c r="D410" s="7" t="s">
        <v>173</v>
      </c>
      <c r="E410" s="7" t="s">
        <v>1460</v>
      </c>
      <c r="F410" s="8" t="s">
        <v>1499</v>
      </c>
      <c r="G410" s="9" t="n">
        <f aca="false">DATE(2000+VALUE(MID(F410,7,2)),VALUE(MID(F410,4,2)),VALUE(LEFT(F410,2)))</f>
        <v>45502</v>
      </c>
      <c r="H410" s="8" t="s">
        <v>1500</v>
      </c>
      <c r="I410" s="9" t="n">
        <f aca="false">DATE(2000+VALUE(MID(H410,7,2)),VALUE(MID(H410,4,2)),VALUE(LEFT(H410,2)))</f>
        <v>45503</v>
      </c>
      <c r="J410" s="9"/>
      <c r="K410" s="10" t="n">
        <v>549000</v>
      </c>
      <c r="L410" s="10" t="n">
        <v>0</v>
      </c>
      <c r="M410" s="10" t="n">
        <v>549000</v>
      </c>
      <c r="N410" s="10" t="n">
        <v>0</v>
      </c>
      <c r="O410" s="10" t="n">
        <v>0</v>
      </c>
      <c r="P410" s="10" t="n">
        <v>0</v>
      </c>
      <c r="Q410" s="10" t="n">
        <v>549000</v>
      </c>
      <c r="R410" s="10" t="n">
        <v>0</v>
      </c>
      <c r="S410" s="10" t="n">
        <v>0</v>
      </c>
      <c r="T410" s="7"/>
      <c r="U410" s="7"/>
      <c r="V410" s="7"/>
      <c r="W410" s="7" t="s">
        <v>43</v>
      </c>
      <c r="X410" s="7"/>
      <c r="Y410" s="7" t="s">
        <v>37</v>
      </c>
      <c r="Z410" s="7" t="s">
        <v>1501</v>
      </c>
      <c r="AA410" s="7"/>
      <c r="AB410" s="10" t="n">
        <v>549000</v>
      </c>
      <c r="AC410" s="10" t="n">
        <v>1</v>
      </c>
    </row>
    <row r="411" customFormat="false" ht="15.75" hidden="true" customHeight="true" outlineLevel="0" collapsed="false">
      <c r="A411" s="6"/>
      <c r="B411" s="7" t="s">
        <v>1126</v>
      </c>
      <c r="C411" s="7" t="s">
        <v>65</v>
      </c>
      <c r="D411" s="7" t="s">
        <v>87</v>
      </c>
      <c r="E411" s="7" t="s">
        <v>1502</v>
      </c>
      <c r="F411" s="8" t="s">
        <v>1503</v>
      </c>
      <c r="G411" s="9" t="n">
        <f aca="false">DATE(2000+VALUE(MID(F411,7,2)),VALUE(MID(F411,4,2)),VALUE(LEFT(F411,2)))</f>
        <v>45498</v>
      </c>
      <c r="H411" s="8" t="s">
        <v>1504</v>
      </c>
      <c r="I411" s="9" t="n">
        <f aca="false">DATE(2000+VALUE(MID(H411,7,2)),VALUE(MID(H411,4,2)),VALUE(LEFT(H411,2)))</f>
        <v>45503</v>
      </c>
      <c r="J411" s="9"/>
      <c r="K411" s="10" t="n">
        <v>2600000</v>
      </c>
      <c r="L411" s="10" t="n">
        <v>0</v>
      </c>
      <c r="M411" s="10" t="n">
        <v>2600000</v>
      </c>
      <c r="N411" s="10" t="n">
        <v>0</v>
      </c>
      <c r="O411" s="10" t="n">
        <v>1000000</v>
      </c>
      <c r="P411" s="10" t="n">
        <v>0</v>
      </c>
      <c r="Q411" s="10" t="n">
        <v>1600000</v>
      </c>
      <c r="R411" s="10" t="n">
        <v>0</v>
      </c>
      <c r="S411" s="10" t="n">
        <v>0</v>
      </c>
      <c r="T411" s="7"/>
      <c r="U411" s="7"/>
      <c r="V411" s="7"/>
      <c r="W411" s="7" t="s">
        <v>36</v>
      </c>
      <c r="X411" s="7"/>
      <c r="Y411" s="7" t="s">
        <v>37</v>
      </c>
      <c r="Z411" s="7" t="s">
        <v>1505</v>
      </c>
      <c r="AA411" s="7"/>
      <c r="AB411" s="10" t="n">
        <v>520000</v>
      </c>
      <c r="AC411" s="10" t="n">
        <v>5</v>
      </c>
    </row>
    <row r="412" customFormat="false" ht="15.75" hidden="true" customHeight="true" outlineLevel="0" collapsed="false">
      <c r="A412" s="6"/>
      <c r="B412" s="7" t="s">
        <v>1506</v>
      </c>
      <c r="C412" s="7" t="s">
        <v>71</v>
      </c>
      <c r="D412" s="7" t="s">
        <v>72</v>
      </c>
      <c r="E412" s="7" t="s">
        <v>1507</v>
      </c>
      <c r="F412" s="8" t="s">
        <v>1508</v>
      </c>
      <c r="G412" s="9" t="n">
        <f aca="false">DATE(2000+VALUE(MID(F412,7,2)),VALUE(MID(F412,4,2)),VALUE(LEFT(F412,2)))</f>
        <v>45501</v>
      </c>
      <c r="H412" s="8" t="s">
        <v>1509</v>
      </c>
      <c r="I412" s="9" t="n">
        <f aca="false">DATE(2000+VALUE(MID(H412,7,2)),VALUE(MID(H412,4,2)),VALUE(LEFT(H412,2)))</f>
        <v>45503</v>
      </c>
      <c r="J412" s="9"/>
      <c r="K412" s="10" t="n">
        <v>1350000</v>
      </c>
      <c r="L412" s="10" t="n">
        <v>0</v>
      </c>
      <c r="M412" s="10" t="n">
        <v>1350000</v>
      </c>
      <c r="N412" s="10" t="n">
        <v>0</v>
      </c>
      <c r="O412" s="10" t="n">
        <v>1350000</v>
      </c>
      <c r="P412" s="10" t="n">
        <v>0</v>
      </c>
      <c r="Q412" s="10" t="n">
        <v>0</v>
      </c>
      <c r="R412" s="10" t="n">
        <v>0</v>
      </c>
      <c r="S412" s="10" t="n">
        <v>0</v>
      </c>
      <c r="T412" s="7"/>
      <c r="U412" s="7"/>
      <c r="V412" s="7"/>
      <c r="W412" s="7" t="s">
        <v>43</v>
      </c>
      <c r="X412" s="7"/>
      <c r="Y412" s="7" t="s">
        <v>37</v>
      </c>
      <c r="Z412" s="7" t="s">
        <v>1510</v>
      </c>
      <c r="AA412" s="7"/>
      <c r="AB412" s="10" t="n">
        <v>675000</v>
      </c>
      <c r="AC412" s="10" t="n">
        <v>2</v>
      </c>
    </row>
    <row r="413" customFormat="false" ht="15.75" hidden="true" customHeight="true" outlineLevel="0" collapsed="false">
      <c r="A413" s="6"/>
      <c r="B413" s="7" t="s">
        <v>1511</v>
      </c>
      <c r="C413" s="7" t="s">
        <v>71</v>
      </c>
      <c r="D413" s="7" t="s">
        <v>92</v>
      </c>
      <c r="E413" s="7" t="s">
        <v>1512</v>
      </c>
      <c r="F413" s="8" t="s">
        <v>1513</v>
      </c>
      <c r="G413" s="9" t="n">
        <f aca="false">DATE(2000+VALUE(MID(F413,7,2)),VALUE(MID(F413,4,2)),VALUE(LEFT(F413,2)))</f>
        <v>45502</v>
      </c>
      <c r="H413" s="8" t="s">
        <v>1509</v>
      </c>
      <c r="I413" s="9" t="n">
        <f aca="false">DATE(2000+VALUE(MID(H413,7,2)),VALUE(MID(H413,4,2)),VALUE(LEFT(H413,2)))</f>
        <v>45503</v>
      </c>
      <c r="J413" s="9"/>
      <c r="K413" s="10" t="n">
        <v>699000</v>
      </c>
      <c r="L413" s="10" t="n">
        <v>0</v>
      </c>
      <c r="M413" s="10" t="n">
        <v>699000</v>
      </c>
      <c r="N413" s="10" t="n">
        <v>0</v>
      </c>
      <c r="O413" s="10" t="n">
        <v>0</v>
      </c>
      <c r="P413" s="10" t="n">
        <v>0</v>
      </c>
      <c r="Q413" s="10" t="n">
        <v>699000</v>
      </c>
      <c r="R413" s="10" t="n">
        <v>0</v>
      </c>
      <c r="S413" s="10" t="n">
        <v>0</v>
      </c>
      <c r="T413" s="7"/>
      <c r="U413" s="7"/>
      <c r="V413" s="7"/>
      <c r="W413" s="7" t="s">
        <v>43</v>
      </c>
      <c r="X413" s="7"/>
      <c r="Y413" s="7" t="s">
        <v>37</v>
      </c>
      <c r="Z413" s="7" t="s">
        <v>1514</v>
      </c>
      <c r="AA413" s="7"/>
      <c r="AB413" s="10" t="n">
        <v>699000</v>
      </c>
      <c r="AC413" s="10" t="n">
        <v>1</v>
      </c>
    </row>
    <row r="414" customFormat="false" ht="15.75" hidden="true" customHeight="true" outlineLevel="0" collapsed="false">
      <c r="A414" s="6"/>
      <c r="B414" s="7" t="s">
        <v>492</v>
      </c>
      <c r="C414" s="7" t="s">
        <v>60</v>
      </c>
      <c r="D414" s="7" t="s">
        <v>164</v>
      </c>
      <c r="E414" s="7" t="s">
        <v>1515</v>
      </c>
      <c r="F414" s="8" t="s">
        <v>1516</v>
      </c>
      <c r="G414" s="9" t="n">
        <f aca="false">DATE(2000+VALUE(MID(F414,7,2)),VALUE(MID(F414,4,2)),VALUE(LEFT(F414,2)))</f>
        <v>45500</v>
      </c>
      <c r="H414" s="8" t="s">
        <v>1517</v>
      </c>
      <c r="I414" s="9" t="n">
        <f aca="false">DATE(2000+VALUE(MID(H414,7,2)),VALUE(MID(H414,4,2)),VALUE(LEFT(H414,2)))</f>
        <v>45503</v>
      </c>
      <c r="J414" s="9"/>
      <c r="K414" s="10" t="n">
        <v>1503031</v>
      </c>
      <c r="L414" s="10" t="n">
        <v>0</v>
      </c>
      <c r="M414" s="10" t="n">
        <v>1503031</v>
      </c>
      <c r="N414" s="10" t="n">
        <v>0</v>
      </c>
      <c r="O414" s="10" t="n">
        <v>0</v>
      </c>
      <c r="P414" s="10" t="n">
        <v>0</v>
      </c>
      <c r="Q414" s="10" t="n">
        <v>0</v>
      </c>
      <c r="R414" s="10" t="n">
        <v>1503031</v>
      </c>
      <c r="S414" s="10" t="n">
        <v>0</v>
      </c>
      <c r="T414" s="7"/>
      <c r="U414" s="7"/>
      <c r="V414" s="7"/>
      <c r="W414" s="7" t="s">
        <v>49</v>
      </c>
      <c r="X414" s="7"/>
      <c r="Y414" s="7" t="s">
        <v>37</v>
      </c>
      <c r="Z414" s="7" t="s">
        <v>725</v>
      </c>
      <c r="AA414" s="7" t="s">
        <v>1518</v>
      </c>
      <c r="AB414" s="10" t="n">
        <v>501010.3333</v>
      </c>
      <c r="AC414" s="10" t="n">
        <v>3</v>
      </c>
    </row>
    <row r="415" customFormat="false" ht="15.75" hidden="true" customHeight="true" outlineLevel="0" collapsed="false">
      <c r="A415" s="6"/>
      <c r="B415" s="7" t="s">
        <v>1224</v>
      </c>
      <c r="C415" s="7" t="s">
        <v>31</v>
      </c>
      <c r="D415" s="7" t="s">
        <v>105</v>
      </c>
      <c r="E415" s="7" t="s">
        <v>1519</v>
      </c>
      <c r="F415" s="8" t="s">
        <v>1513</v>
      </c>
      <c r="G415" s="9" t="n">
        <f aca="false">DATE(2000+VALUE(MID(F415,7,2)),VALUE(MID(F415,4,2)),VALUE(LEFT(F415,2)))</f>
        <v>45502</v>
      </c>
      <c r="H415" s="8" t="s">
        <v>1520</v>
      </c>
      <c r="I415" s="9" t="n">
        <f aca="false">DATE(2000+VALUE(MID(H415,7,2)),VALUE(MID(H415,4,2)),VALUE(LEFT(H415,2)))</f>
        <v>45504</v>
      </c>
      <c r="J415" s="9"/>
      <c r="K415" s="10" t="n">
        <v>1560000</v>
      </c>
      <c r="L415" s="10" t="n">
        <v>352000</v>
      </c>
      <c r="M415" s="10" t="n">
        <v>1912000</v>
      </c>
      <c r="N415" s="10" t="n">
        <v>0</v>
      </c>
      <c r="O415" s="10" t="n">
        <v>0</v>
      </c>
      <c r="P415" s="10" t="n">
        <v>0</v>
      </c>
      <c r="Q415" s="10" t="n">
        <v>1912000</v>
      </c>
      <c r="R415" s="10" t="n">
        <v>0</v>
      </c>
      <c r="S415" s="10" t="n">
        <v>0</v>
      </c>
      <c r="T415" s="7"/>
      <c r="U415" s="7"/>
      <c r="V415" s="7"/>
      <c r="W415" s="7" t="s">
        <v>43</v>
      </c>
      <c r="X415" s="7"/>
      <c r="Y415" s="7" t="s">
        <v>37</v>
      </c>
      <c r="Z415" s="7" t="s">
        <v>1521</v>
      </c>
      <c r="AA415" s="7"/>
      <c r="AB415" s="10" t="n">
        <v>780000</v>
      </c>
      <c r="AC415" s="10" t="n">
        <v>2</v>
      </c>
    </row>
    <row r="416" customFormat="false" ht="15.75" hidden="true" customHeight="true" outlineLevel="0" collapsed="false">
      <c r="A416" s="6"/>
      <c r="B416" s="7" t="s">
        <v>1224</v>
      </c>
      <c r="C416" s="7" t="s">
        <v>31</v>
      </c>
      <c r="D416" s="7" t="s">
        <v>32</v>
      </c>
      <c r="E416" s="7" t="s">
        <v>202</v>
      </c>
      <c r="F416" s="8" t="s">
        <v>1513</v>
      </c>
      <c r="G416" s="9" t="n">
        <f aca="false">DATE(2000+VALUE(MID(F416,7,2)),VALUE(MID(F416,4,2)),VALUE(LEFT(F416,2)))</f>
        <v>45502</v>
      </c>
      <c r="H416" s="8" t="s">
        <v>1520</v>
      </c>
      <c r="I416" s="9" t="n">
        <f aca="false">DATE(2000+VALUE(MID(H416,7,2)),VALUE(MID(H416,4,2)),VALUE(LEFT(H416,2)))</f>
        <v>45504</v>
      </c>
      <c r="J416" s="9"/>
      <c r="K416" s="10" t="n">
        <v>1560000</v>
      </c>
      <c r="L416" s="10" t="n">
        <v>0</v>
      </c>
      <c r="M416" s="10" t="n">
        <v>1560000</v>
      </c>
      <c r="N416" s="10" t="n">
        <v>0</v>
      </c>
      <c r="O416" s="10" t="n">
        <v>0</v>
      </c>
      <c r="P416" s="10" t="n">
        <v>0</v>
      </c>
      <c r="Q416" s="10" t="n">
        <v>1560000</v>
      </c>
      <c r="R416" s="10" t="n">
        <v>0</v>
      </c>
      <c r="S416" s="10" t="n">
        <v>0</v>
      </c>
      <c r="T416" s="7"/>
      <c r="U416" s="7"/>
      <c r="V416" s="7"/>
      <c r="W416" s="7" t="s">
        <v>43</v>
      </c>
      <c r="X416" s="7"/>
      <c r="Y416" s="7" t="s">
        <v>37</v>
      </c>
      <c r="Z416" s="7" t="s">
        <v>1522</v>
      </c>
      <c r="AA416" s="7"/>
      <c r="AB416" s="10" t="n">
        <v>780000</v>
      </c>
      <c r="AC416" s="10" t="n">
        <v>2</v>
      </c>
    </row>
    <row r="417" customFormat="false" ht="15.75" hidden="true" customHeight="true" outlineLevel="0" collapsed="false">
      <c r="A417" s="6"/>
      <c r="B417" s="7" t="s">
        <v>693</v>
      </c>
      <c r="C417" s="7" t="s">
        <v>65</v>
      </c>
      <c r="D417" s="7" t="s">
        <v>82</v>
      </c>
      <c r="E417" s="7" t="s">
        <v>202</v>
      </c>
      <c r="F417" s="8" t="s">
        <v>1523</v>
      </c>
      <c r="G417" s="9" t="n">
        <f aca="false">DATE(2000+VALUE(MID(F417,7,2)),VALUE(MID(F417,4,2)),VALUE(LEFT(F417,2)))</f>
        <v>45474</v>
      </c>
      <c r="H417" s="8" t="s">
        <v>1524</v>
      </c>
      <c r="I417" s="9" t="n">
        <f aca="false">DATE(2000+VALUE(MID(H417,7,2)),VALUE(MID(H417,4,2)),VALUE(LEFT(H417,2)))</f>
        <v>45504</v>
      </c>
      <c r="J417" s="9"/>
      <c r="K417" s="10" t="n">
        <v>15000000</v>
      </c>
      <c r="L417" s="10" t="n">
        <v>470000</v>
      </c>
      <c r="M417" s="10" t="n">
        <v>15470000</v>
      </c>
      <c r="N417" s="10" t="n">
        <v>0</v>
      </c>
      <c r="O417" s="10" t="n">
        <v>90000</v>
      </c>
      <c r="P417" s="10" t="n">
        <v>0</v>
      </c>
      <c r="Q417" s="10" t="n">
        <v>15380000</v>
      </c>
      <c r="R417" s="10" t="n">
        <v>0</v>
      </c>
      <c r="S417" s="10" t="n">
        <v>0</v>
      </c>
      <c r="T417" s="7"/>
      <c r="U417" s="7"/>
      <c r="V417" s="7"/>
      <c r="W417" s="7" t="s">
        <v>43</v>
      </c>
      <c r="X417" s="7"/>
      <c r="Y417" s="7" t="s">
        <v>37</v>
      </c>
      <c r="Z417" s="7" t="s">
        <v>1020</v>
      </c>
      <c r="AA417" s="7"/>
      <c r="AB417" s="10" t="n">
        <v>500000</v>
      </c>
      <c r="AC417" s="10" t="n">
        <v>30</v>
      </c>
    </row>
    <row r="418" customFormat="false" ht="15.75" hidden="true" customHeight="true" outlineLevel="0" collapsed="false">
      <c r="A418" s="6"/>
      <c r="B418" s="7" t="s">
        <v>1383</v>
      </c>
      <c r="C418" s="7" t="s">
        <v>65</v>
      </c>
      <c r="D418" s="7" t="s">
        <v>87</v>
      </c>
      <c r="E418" s="7" t="s">
        <v>1525</v>
      </c>
      <c r="F418" s="8" t="s">
        <v>1526</v>
      </c>
      <c r="G418" s="9" t="n">
        <f aca="false">DATE(2000+VALUE(MID(F418,7,2)),VALUE(MID(F418,4,2)),VALUE(LEFT(F418,2)))</f>
        <v>45503</v>
      </c>
      <c r="H418" s="8" t="s">
        <v>1524</v>
      </c>
      <c r="I418" s="9" t="n">
        <f aca="false">DATE(2000+VALUE(MID(H418,7,2)),VALUE(MID(H418,4,2)),VALUE(LEFT(H418,2)))</f>
        <v>45504</v>
      </c>
      <c r="J418" s="9"/>
      <c r="K418" s="10" t="n">
        <v>493920</v>
      </c>
      <c r="L418" s="10" t="n">
        <v>0</v>
      </c>
      <c r="M418" s="10" t="n">
        <v>493920</v>
      </c>
      <c r="N418" s="10" t="n">
        <v>0</v>
      </c>
      <c r="O418" s="10" t="n">
        <v>0</v>
      </c>
      <c r="P418" s="10" t="n">
        <v>0</v>
      </c>
      <c r="Q418" s="10" t="n">
        <v>0</v>
      </c>
      <c r="R418" s="10" t="n">
        <v>493920</v>
      </c>
      <c r="S418" s="10" t="n">
        <v>0</v>
      </c>
      <c r="T418" s="7"/>
      <c r="U418" s="7"/>
      <c r="V418" s="7"/>
      <c r="W418" s="7" t="s">
        <v>49</v>
      </c>
      <c r="X418" s="7"/>
      <c r="Y418" s="7" t="s">
        <v>37</v>
      </c>
      <c r="Z418" s="7" t="s">
        <v>1527</v>
      </c>
      <c r="AA418" s="7" t="s">
        <v>1528</v>
      </c>
      <c r="AB418" s="10" t="n">
        <v>493920</v>
      </c>
      <c r="AC418" s="10" t="n">
        <v>1</v>
      </c>
    </row>
    <row r="419" customFormat="false" ht="15.75" hidden="true" customHeight="true" outlineLevel="0" collapsed="false">
      <c r="A419" s="6"/>
      <c r="B419" s="7" t="s">
        <v>1529</v>
      </c>
      <c r="C419" s="7" t="s">
        <v>71</v>
      </c>
      <c r="D419" s="7" t="s">
        <v>72</v>
      </c>
      <c r="E419" s="7" t="s">
        <v>1409</v>
      </c>
      <c r="F419" s="8" t="s">
        <v>1530</v>
      </c>
      <c r="G419" s="9" t="n">
        <f aca="false">DATE(2000+VALUE(MID(F419,7,2)),VALUE(MID(F419,4,2)),VALUE(LEFT(F419,2)))</f>
        <v>45504</v>
      </c>
      <c r="H419" s="8" t="s">
        <v>1531</v>
      </c>
      <c r="I419" s="9" t="n">
        <f aca="false">DATE(2000+VALUE(MID(H419,7,2)),VALUE(MID(H419,4,2)),VALUE(LEFT(H419,2)))</f>
        <v>45505</v>
      </c>
      <c r="J419" s="9"/>
      <c r="K419" s="10" t="n">
        <v>649000</v>
      </c>
      <c r="L419" s="10" t="n">
        <v>0</v>
      </c>
      <c r="M419" s="10" t="n">
        <v>649000</v>
      </c>
      <c r="N419" s="10" t="n">
        <v>0</v>
      </c>
      <c r="O419" s="10" t="n">
        <v>0</v>
      </c>
      <c r="P419" s="10" t="n">
        <v>0</v>
      </c>
      <c r="Q419" s="10" t="n">
        <v>649000</v>
      </c>
      <c r="R419" s="10" t="n">
        <v>0</v>
      </c>
      <c r="S419" s="10" t="n">
        <v>0</v>
      </c>
      <c r="T419" s="7"/>
      <c r="U419" s="7"/>
      <c r="V419" s="7"/>
      <c r="W419" s="7" t="s">
        <v>43</v>
      </c>
      <c r="X419" s="7"/>
      <c r="Y419" s="7" t="s">
        <v>37</v>
      </c>
      <c r="Z419" s="7" t="s">
        <v>1532</v>
      </c>
      <c r="AA419" s="7"/>
      <c r="AB419" s="10" t="n">
        <v>649000</v>
      </c>
      <c r="AC419" s="10" t="n">
        <v>1</v>
      </c>
    </row>
    <row r="420" customFormat="false" ht="15.75" hidden="true" customHeight="true" outlineLevel="0" collapsed="false">
      <c r="A420" s="6"/>
      <c r="B420" s="7" t="s">
        <v>45</v>
      </c>
      <c r="C420" s="7" t="s">
        <v>65</v>
      </c>
      <c r="D420" s="7" t="s">
        <v>87</v>
      </c>
      <c r="E420" s="7" t="s">
        <v>1525</v>
      </c>
      <c r="F420" s="8" t="s">
        <v>1533</v>
      </c>
      <c r="G420" s="9" t="n">
        <f aca="false">DATE(2000+VALUE(MID(F420,7,2)),VALUE(MID(F420,4,2)),VALUE(LEFT(F420,2)))</f>
        <v>45504</v>
      </c>
      <c r="H420" s="8" t="s">
        <v>1534</v>
      </c>
      <c r="I420" s="9" t="n">
        <f aca="false">DATE(2000+VALUE(MID(H420,7,2)),VALUE(MID(H420,4,2)),VALUE(LEFT(H420,2)))</f>
        <v>45505</v>
      </c>
      <c r="J420" s="9"/>
      <c r="K420" s="10" t="n">
        <v>493920</v>
      </c>
      <c r="L420" s="10" t="n">
        <v>0</v>
      </c>
      <c r="M420" s="10" t="n">
        <v>493920</v>
      </c>
      <c r="N420" s="10" t="n">
        <v>0</v>
      </c>
      <c r="O420" s="10" t="n">
        <v>0</v>
      </c>
      <c r="P420" s="10" t="n">
        <v>0</v>
      </c>
      <c r="Q420" s="10" t="n">
        <v>0</v>
      </c>
      <c r="R420" s="10" t="n">
        <v>493920</v>
      </c>
      <c r="S420" s="10" t="n">
        <v>0</v>
      </c>
      <c r="T420" s="7"/>
      <c r="U420" s="7"/>
      <c r="V420" s="7"/>
      <c r="W420" s="7" t="s">
        <v>49</v>
      </c>
      <c r="X420" s="7"/>
      <c r="Y420" s="7" t="s">
        <v>37</v>
      </c>
      <c r="Z420" s="7" t="s">
        <v>1535</v>
      </c>
      <c r="AA420" s="7" t="s">
        <v>1536</v>
      </c>
      <c r="AB420" s="10" t="n">
        <v>493920</v>
      </c>
      <c r="AC420" s="10" t="n">
        <v>1</v>
      </c>
    </row>
    <row r="421" customFormat="false" ht="15.75" hidden="true" customHeight="true" outlineLevel="0" collapsed="false">
      <c r="A421" s="6"/>
      <c r="B421" s="7" t="s">
        <v>1116</v>
      </c>
      <c r="C421" s="7" t="s">
        <v>60</v>
      </c>
      <c r="D421" s="7" t="s">
        <v>61</v>
      </c>
      <c r="E421" s="7" t="s">
        <v>543</v>
      </c>
      <c r="F421" s="8" t="s">
        <v>1537</v>
      </c>
      <c r="G421" s="9" t="n">
        <f aca="false">DATE(2000+VALUE(MID(F421,7,2)),VALUE(MID(F421,4,2)),VALUE(LEFT(F421,2)))</f>
        <v>45504</v>
      </c>
      <c r="H421" s="8" t="s">
        <v>1538</v>
      </c>
      <c r="I421" s="9" t="n">
        <f aca="false">DATE(2000+VALUE(MID(H421,7,2)),VALUE(MID(H421,4,2)),VALUE(LEFT(H421,2)))</f>
        <v>45505</v>
      </c>
      <c r="J421" s="9"/>
      <c r="K421" s="10" t="n">
        <v>629000</v>
      </c>
      <c r="L421" s="10" t="n">
        <v>0</v>
      </c>
      <c r="M421" s="10" t="n">
        <v>629000</v>
      </c>
      <c r="N421" s="10" t="n">
        <v>0</v>
      </c>
      <c r="O421" s="10" t="n">
        <v>0</v>
      </c>
      <c r="P421" s="10" t="n">
        <v>0</v>
      </c>
      <c r="Q421" s="10" t="n">
        <v>0</v>
      </c>
      <c r="R421" s="10" t="n">
        <v>629000</v>
      </c>
      <c r="S421" s="10" t="n">
        <v>0</v>
      </c>
      <c r="T421" s="7"/>
      <c r="U421" s="7"/>
      <c r="V421" s="7"/>
      <c r="W421" s="7" t="s">
        <v>43</v>
      </c>
      <c r="X421" s="7"/>
      <c r="Y421" s="7" t="s">
        <v>37</v>
      </c>
      <c r="Z421" s="7" t="s">
        <v>1539</v>
      </c>
      <c r="AA421" s="7"/>
      <c r="AB421" s="10" t="n">
        <v>629000</v>
      </c>
      <c r="AC421" s="10" t="n">
        <v>1</v>
      </c>
    </row>
    <row r="422" customFormat="false" ht="15.75" hidden="true" customHeight="true" outlineLevel="0" collapsed="false">
      <c r="A422" s="6"/>
      <c r="B422" s="7" t="s">
        <v>1257</v>
      </c>
      <c r="C422" s="7" t="s">
        <v>65</v>
      </c>
      <c r="D422" s="7" t="s">
        <v>96</v>
      </c>
      <c r="E422" s="7" t="s">
        <v>1540</v>
      </c>
      <c r="F422" s="8" t="s">
        <v>1487</v>
      </c>
      <c r="G422" s="9" t="n">
        <f aca="false">DATE(2000+VALUE(MID(F422,7,2)),VALUE(MID(F422,4,2)),VALUE(LEFT(F422,2)))</f>
        <v>45499</v>
      </c>
      <c r="H422" s="8" t="s">
        <v>1538</v>
      </c>
      <c r="I422" s="9" t="n">
        <f aca="false">DATE(2000+VALUE(MID(H422,7,2)),VALUE(MID(H422,4,2)),VALUE(LEFT(H422,2)))</f>
        <v>45505</v>
      </c>
      <c r="J422" s="9"/>
      <c r="K422" s="10" t="n">
        <v>3000000</v>
      </c>
      <c r="L422" s="10" t="n">
        <v>0</v>
      </c>
      <c r="M422" s="10" t="n">
        <v>3000000</v>
      </c>
      <c r="N422" s="10" t="n">
        <v>0</v>
      </c>
      <c r="O422" s="10" t="n">
        <v>3000000</v>
      </c>
      <c r="P422" s="10" t="n">
        <v>0</v>
      </c>
      <c r="Q422" s="10" t="n">
        <v>0</v>
      </c>
      <c r="R422" s="10" t="n">
        <v>0</v>
      </c>
      <c r="S422" s="10" t="n">
        <v>0</v>
      </c>
      <c r="T422" s="7"/>
      <c r="U422" s="7"/>
      <c r="V422" s="7"/>
      <c r="W422" s="7" t="s">
        <v>43</v>
      </c>
      <c r="X422" s="7"/>
      <c r="Y422" s="7" t="s">
        <v>37</v>
      </c>
      <c r="Z422" s="7" t="s">
        <v>1541</v>
      </c>
      <c r="AA422" s="7"/>
      <c r="AB422" s="10" t="n">
        <v>500000</v>
      </c>
      <c r="AC422" s="10" t="n">
        <v>6</v>
      </c>
    </row>
    <row r="423" customFormat="false" ht="15.75" hidden="true" customHeight="true" outlineLevel="0" collapsed="false">
      <c r="A423" s="6"/>
      <c r="B423" s="7" t="s">
        <v>693</v>
      </c>
      <c r="C423" s="7" t="s">
        <v>65</v>
      </c>
      <c r="D423" s="7" t="s">
        <v>82</v>
      </c>
      <c r="E423" s="7" t="s">
        <v>726</v>
      </c>
      <c r="F423" s="8" t="s">
        <v>1533</v>
      </c>
      <c r="G423" s="9" t="n">
        <f aca="false">DATE(2000+VALUE(MID(F423,7,2)),VALUE(MID(F423,4,2)),VALUE(LEFT(F423,2)))</f>
        <v>45504</v>
      </c>
      <c r="H423" s="8" t="s">
        <v>1538</v>
      </c>
      <c r="I423" s="9" t="n">
        <f aca="false">DATE(2000+VALUE(MID(H423,7,2)),VALUE(MID(H423,4,2)),VALUE(LEFT(H423,2)))</f>
        <v>45505</v>
      </c>
      <c r="J423" s="9"/>
      <c r="K423" s="10" t="n">
        <v>500000</v>
      </c>
      <c r="L423" s="10" t="n">
        <v>0</v>
      </c>
      <c r="M423" s="10" t="n">
        <v>500000</v>
      </c>
      <c r="N423" s="10" t="n">
        <v>0</v>
      </c>
      <c r="O423" s="10" t="n">
        <v>0</v>
      </c>
      <c r="P423" s="10" t="n">
        <v>0</v>
      </c>
      <c r="Q423" s="10" t="n">
        <v>500000</v>
      </c>
      <c r="R423" s="10" t="n">
        <v>0</v>
      </c>
      <c r="S423" s="10" t="n">
        <v>0</v>
      </c>
      <c r="T423" s="7"/>
      <c r="U423" s="7"/>
      <c r="V423" s="7"/>
      <c r="W423" s="7" t="s">
        <v>43</v>
      </c>
      <c r="X423" s="7"/>
      <c r="Y423" s="7" t="s">
        <v>37</v>
      </c>
      <c r="Z423" s="7" t="s">
        <v>1542</v>
      </c>
      <c r="AA423" s="7"/>
      <c r="AB423" s="10" t="n">
        <v>500000</v>
      </c>
      <c r="AC423" s="10" t="n">
        <v>1</v>
      </c>
    </row>
    <row r="424" customFormat="false" ht="15.75" hidden="true" customHeight="true" outlineLevel="0" collapsed="false">
      <c r="A424" s="6"/>
      <c r="B424" s="7" t="s">
        <v>1475</v>
      </c>
      <c r="C424" s="7" t="s">
        <v>60</v>
      </c>
      <c r="D424" s="7" t="s">
        <v>116</v>
      </c>
      <c r="E424" s="7" t="s">
        <v>1543</v>
      </c>
      <c r="F424" s="8" t="s">
        <v>1544</v>
      </c>
      <c r="G424" s="9" t="n">
        <f aca="false">DATE(2000+VALUE(MID(F424,7,2)),VALUE(MID(F424,4,2)),VALUE(LEFT(F424,2)))</f>
        <v>45504</v>
      </c>
      <c r="H424" s="8" t="s">
        <v>1538</v>
      </c>
      <c r="I424" s="9" t="n">
        <f aca="false">DATE(2000+VALUE(MID(H424,7,2)),VALUE(MID(H424,4,2)),VALUE(LEFT(H424,2)))</f>
        <v>45505</v>
      </c>
      <c r="J424" s="9"/>
      <c r="K424" s="10" t="n">
        <v>550000</v>
      </c>
      <c r="L424" s="10" t="n">
        <v>0</v>
      </c>
      <c r="M424" s="10" t="n">
        <v>550000</v>
      </c>
      <c r="N424" s="10" t="n">
        <v>0</v>
      </c>
      <c r="O424" s="10" t="n">
        <v>550000</v>
      </c>
      <c r="P424" s="10" t="n">
        <v>0</v>
      </c>
      <c r="Q424" s="10" t="n">
        <v>0</v>
      </c>
      <c r="R424" s="10" t="n">
        <v>0</v>
      </c>
      <c r="S424" s="10" t="n">
        <v>0</v>
      </c>
      <c r="T424" s="7"/>
      <c r="U424" s="7"/>
      <c r="V424" s="7"/>
      <c r="W424" s="7" t="s">
        <v>43</v>
      </c>
      <c r="X424" s="7"/>
      <c r="Y424" s="7" t="s">
        <v>37</v>
      </c>
      <c r="Z424" s="7" t="s">
        <v>1545</v>
      </c>
      <c r="AA424" s="7"/>
      <c r="AB424" s="10" t="n">
        <v>550000</v>
      </c>
      <c r="AC424" s="10" t="n">
        <v>1</v>
      </c>
    </row>
    <row r="425" customFormat="false" ht="15.75" hidden="true" customHeight="true" outlineLevel="0" collapsed="false">
      <c r="A425" s="6"/>
      <c r="B425" s="7" t="s">
        <v>1546</v>
      </c>
      <c r="C425" s="7" t="s">
        <v>65</v>
      </c>
      <c r="D425" s="7" t="s">
        <v>66</v>
      </c>
      <c r="E425" s="7" t="s">
        <v>1547</v>
      </c>
      <c r="F425" s="8" t="s">
        <v>1548</v>
      </c>
      <c r="G425" s="9" t="n">
        <f aca="false">DATE(2000+VALUE(MID(F425,7,2)),VALUE(MID(F425,4,2)),VALUE(LEFT(F425,2)))</f>
        <v>45496</v>
      </c>
      <c r="H425" s="8" t="s">
        <v>1549</v>
      </c>
      <c r="I425" s="9" t="n">
        <f aca="false">DATE(2000+VALUE(MID(H425,7,2)),VALUE(MID(H425,4,2)),VALUE(LEFT(H425,2)))</f>
        <v>45505</v>
      </c>
      <c r="J425" s="9"/>
      <c r="K425" s="10" t="n">
        <v>4834800</v>
      </c>
      <c r="L425" s="10" t="n">
        <v>0</v>
      </c>
      <c r="M425" s="10" t="n">
        <v>4834800</v>
      </c>
      <c r="N425" s="10" t="n">
        <v>0</v>
      </c>
      <c r="O425" s="10" t="n">
        <v>0</v>
      </c>
      <c r="P425" s="10" t="n">
        <v>0</v>
      </c>
      <c r="Q425" s="10" t="n">
        <v>0</v>
      </c>
      <c r="R425" s="10" t="n">
        <v>4834800</v>
      </c>
      <c r="S425" s="10" t="n">
        <v>0</v>
      </c>
      <c r="T425" s="7"/>
      <c r="U425" s="7"/>
      <c r="V425" s="7"/>
      <c r="W425" s="7" t="s">
        <v>49</v>
      </c>
      <c r="X425" s="7"/>
      <c r="Y425" s="7" t="s">
        <v>37</v>
      </c>
      <c r="Z425" s="7" t="s">
        <v>1550</v>
      </c>
      <c r="AA425" s="7" t="s">
        <v>1551</v>
      </c>
      <c r="AB425" s="10" t="n">
        <v>537200</v>
      </c>
      <c r="AC425" s="10" t="n">
        <v>9</v>
      </c>
    </row>
    <row r="426" customFormat="false" ht="15.75" hidden="true" customHeight="true" outlineLevel="0" collapsed="false">
      <c r="A426" s="6"/>
      <c r="B426" s="7" t="s">
        <v>82</v>
      </c>
      <c r="C426" s="7" t="s">
        <v>60</v>
      </c>
      <c r="D426" s="7" t="s">
        <v>116</v>
      </c>
      <c r="E426" s="7" t="s">
        <v>202</v>
      </c>
      <c r="F426" s="8" t="s">
        <v>1552</v>
      </c>
      <c r="G426" s="9" t="n">
        <f aca="false">DATE(2000+VALUE(MID(F426,7,2)),VALUE(MID(F426,4,2)),VALUE(LEFT(F426,2)))</f>
        <v>45505</v>
      </c>
      <c r="H426" s="8" t="s">
        <v>1553</v>
      </c>
      <c r="I426" s="9" t="n">
        <f aca="false">DATE(2000+VALUE(MID(H426,7,2)),VALUE(MID(H426,4,2)),VALUE(LEFT(H426,2)))</f>
        <v>45506</v>
      </c>
      <c r="J426" s="9"/>
      <c r="K426" s="10" t="n">
        <v>600000</v>
      </c>
      <c r="L426" s="10" t="n">
        <v>0</v>
      </c>
      <c r="M426" s="10" t="n">
        <v>600000</v>
      </c>
      <c r="N426" s="10" t="n">
        <v>0</v>
      </c>
      <c r="O426" s="10" t="n">
        <v>600000</v>
      </c>
      <c r="P426" s="10" t="n">
        <v>0</v>
      </c>
      <c r="Q426" s="10" t="n">
        <v>0</v>
      </c>
      <c r="R426" s="10" t="n">
        <v>0</v>
      </c>
      <c r="S426" s="10" t="n">
        <v>0</v>
      </c>
      <c r="T426" s="7"/>
      <c r="U426" s="7"/>
      <c r="V426" s="7"/>
      <c r="W426" s="7" t="s">
        <v>43</v>
      </c>
      <c r="X426" s="7"/>
      <c r="Y426" s="7" t="s">
        <v>37</v>
      </c>
      <c r="Z426" s="7" t="s">
        <v>66</v>
      </c>
      <c r="AA426" s="7"/>
      <c r="AB426" s="10" t="n">
        <v>600000</v>
      </c>
      <c r="AC426" s="10" t="n">
        <v>1</v>
      </c>
    </row>
    <row r="427" customFormat="false" ht="15.75" hidden="true" customHeight="true" outlineLevel="0" collapsed="false">
      <c r="A427" s="6"/>
      <c r="B427" s="7" t="s">
        <v>1249</v>
      </c>
      <c r="C427" s="7" t="s">
        <v>71</v>
      </c>
      <c r="D427" s="7" t="s">
        <v>92</v>
      </c>
      <c r="E427" s="7" t="s">
        <v>202</v>
      </c>
      <c r="F427" s="8" t="s">
        <v>1554</v>
      </c>
      <c r="G427" s="9" t="n">
        <f aca="false">DATE(2000+VALUE(MID(F427,7,2)),VALUE(MID(F427,4,2)),VALUE(LEFT(F427,2)))</f>
        <v>45505</v>
      </c>
      <c r="H427" s="8" t="s">
        <v>1553</v>
      </c>
      <c r="I427" s="9" t="n">
        <f aca="false">DATE(2000+VALUE(MID(H427,7,2)),VALUE(MID(H427,4,2)),VALUE(LEFT(H427,2)))</f>
        <v>45506</v>
      </c>
      <c r="J427" s="9"/>
      <c r="K427" s="10" t="n">
        <v>600000</v>
      </c>
      <c r="L427" s="10" t="n">
        <v>0</v>
      </c>
      <c r="M427" s="10" t="n">
        <v>600000</v>
      </c>
      <c r="N427" s="10" t="n">
        <v>0</v>
      </c>
      <c r="O427" s="10" t="n">
        <v>0</v>
      </c>
      <c r="P427" s="10" t="n">
        <v>0</v>
      </c>
      <c r="Q427" s="10" t="n">
        <v>600000</v>
      </c>
      <c r="R427" s="10" t="n">
        <v>0</v>
      </c>
      <c r="S427" s="10" t="n">
        <v>0</v>
      </c>
      <c r="T427" s="7"/>
      <c r="U427" s="7"/>
      <c r="V427" s="7"/>
      <c r="W427" s="7" t="s">
        <v>43</v>
      </c>
      <c r="X427" s="7"/>
      <c r="Y427" s="7" t="s">
        <v>37</v>
      </c>
      <c r="Z427" s="7" t="s">
        <v>1555</v>
      </c>
      <c r="AA427" s="7"/>
      <c r="AB427" s="10" t="n">
        <v>600000</v>
      </c>
      <c r="AC427" s="10" t="n">
        <v>1</v>
      </c>
    </row>
    <row r="428" customFormat="false" ht="15.75" hidden="true" customHeight="true" outlineLevel="0" collapsed="false">
      <c r="A428" s="6"/>
      <c r="B428" s="7" t="s">
        <v>1318</v>
      </c>
      <c r="C428" s="7" t="s">
        <v>71</v>
      </c>
      <c r="D428" s="7" t="s">
        <v>72</v>
      </c>
      <c r="E428" s="7" t="s">
        <v>1556</v>
      </c>
      <c r="F428" s="8" t="s">
        <v>1557</v>
      </c>
      <c r="G428" s="9" t="n">
        <f aca="false">DATE(2000+VALUE(MID(F428,7,2)),VALUE(MID(F428,4,2)),VALUE(LEFT(F428,2)))</f>
        <v>45505</v>
      </c>
      <c r="H428" s="8" t="s">
        <v>1553</v>
      </c>
      <c r="I428" s="9" t="n">
        <f aca="false">DATE(2000+VALUE(MID(H428,7,2)),VALUE(MID(H428,4,2)),VALUE(LEFT(H428,2)))</f>
        <v>45506</v>
      </c>
      <c r="J428" s="9"/>
      <c r="K428" s="10" t="n">
        <v>600000</v>
      </c>
      <c r="L428" s="10" t="n">
        <v>0</v>
      </c>
      <c r="M428" s="10" t="n">
        <v>600000</v>
      </c>
      <c r="N428" s="10" t="n">
        <v>0</v>
      </c>
      <c r="O428" s="10" t="n">
        <v>0</v>
      </c>
      <c r="P428" s="10" t="n">
        <v>0</v>
      </c>
      <c r="Q428" s="10" t="n">
        <v>600000</v>
      </c>
      <c r="R428" s="10" t="n">
        <v>0</v>
      </c>
      <c r="S428" s="10" t="n">
        <v>0</v>
      </c>
      <c r="T428" s="7"/>
      <c r="U428" s="7"/>
      <c r="V428" s="7"/>
      <c r="W428" s="7" t="s">
        <v>43</v>
      </c>
      <c r="X428" s="7"/>
      <c r="Y428" s="7" t="s">
        <v>37</v>
      </c>
      <c r="Z428" s="7" t="s">
        <v>1558</v>
      </c>
      <c r="AA428" s="7"/>
      <c r="AB428" s="10" t="n">
        <v>600000</v>
      </c>
      <c r="AC428" s="10" t="n">
        <v>1</v>
      </c>
    </row>
    <row r="429" customFormat="false" ht="15.75" hidden="true" customHeight="true" outlineLevel="0" collapsed="false">
      <c r="A429" s="6"/>
      <c r="B429" s="7" t="s">
        <v>1089</v>
      </c>
      <c r="C429" s="7" t="s">
        <v>209</v>
      </c>
      <c r="D429" s="7" t="s">
        <v>209</v>
      </c>
      <c r="E429" s="7" t="s">
        <v>1559</v>
      </c>
      <c r="F429" s="8" t="s">
        <v>862</v>
      </c>
      <c r="G429" s="9" t="n">
        <f aca="false">DATE(2000+VALUE(MID(F429,7,2)),VALUE(MID(F429,4,2)),VALUE(LEFT(F429,2)))</f>
        <v>45476</v>
      </c>
      <c r="H429" s="8" t="s">
        <v>1560</v>
      </c>
      <c r="I429" s="9" t="n">
        <f aca="false">DATE(2000+VALUE(MID(H429,7,2)),VALUE(MID(H429,4,2)),VALUE(LEFT(H429,2)))</f>
        <v>45506</v>
      </c>
      <c r="J429" s="9"/>
      <c r="K429" s="10" t="n">
        <v>28011520</v>
      </c>
      <c r="L429" s="10" t="n">
        <v>2384000</v>
      </c>
      <c r="M429" s="10" t="n">
        <v>30395520</v>
      </c>
      <c r="N429" s="10" t="n">
        <v>0</v>
      </c>
      <c r="O429" s="10" t="n">
        <v>0</v>
      </c>
      <c r="P429" s="10" t="n">
        <v>0</v>
      </c>
      <c r="Q429" s="10" t="n">
        <v>30395520</v>
      </c>
      <c r="R429" s="10" t="n">
        <v>0</v>
      </c>
      <c r="S429" s="10" t="n">
        <v>0</v>
      </c>
      <c r="T429" s="7"/>
      <c r="U429" s="7"/>
      <c r="V429" s="7"/>
      <c r="W429" s="7" t="s">
        <v>36</v>
      </c>
      <c r="X429" s="7"/>
      <c r="Y429" s="7" t="s">
        <v>37</v>
      </c>
      <c r="Z429" s="7" t="s">
        <v>1044</v>
      </c>
      <c r="AA429" s="7"/>
      <c r="AB429" s="10" t="n">
        <v>933717.3333</v>
      </c>
      <c r="AC429" s="10" t="n">
        <v>30</v>
      </c>
    </row>
    <row r="430" customFormat="false" ht="15.75" hidden="true" customHeight="true" outlineLevel="0" collapsed="false">
      <c r="A430" s="6"/>
      <c r="B430" s="7" t="s">
        <v>1274</v>
      </c>
      <c r="C430" s="7" t="s">
        <v>65</v>
      </c>
      <c r="D430" s="7" t="s">
        <v>87</v>
      </c>
      <c r="E430" s="7" t="s">
        <v>1561</v>
      </c>
      <c r="F430" s="8" t="s">
        <v>1562</v>
      </c>
      <c r="G430" s="9" t="n">
        <f aca="false">DATE(2000+VALUE(MID(F430,7,2)),VALUE(MID(F430,4,2)),VALUE(LEFT(F430,2)))</f>
        <v>45506</v>
      </c>
      <c r="H430" s="8" t="s">
        <v>1563</v>
      </c>
      <c r="I430" s="9" t="n">
        <f aca="false">DATE(2000+VALUE(MID(H430,7,2)),VALUE(MID(H430,4,2)),VALUE(LEFT(H430,2)))</f>
        <v>45506</v>
      </c>
      <c r="J430" s="9"/>
      <c r="K430" s="10" t="n">
        <v>460000</v>
      </c>
      <c r="L430" s="10" t="n">
        <v>0</v>
      </c>
      <c r="M430" s="10" t="n">
        <v>460000</v>
      </c>
      <c r="N430" s="10" t="n">
        <v>0</v>
      </c>
      <c r="O430" s="10" t="n">
        <v>0</v>
      </c>
      <c r="P430" s="10" t="n">
        <v>0</v>
      </c>
      <c r="Q430" s="10" t="n">
        <v>460000</v>
      </c>
      <c r="R430" s="10" t="n">
        <v>0</v>
      </c>
      <c r="S430" s="10" t="n">
        <v>0</v>
      </c>
      <c r="T430" s="7"/>
      <c r="U430" s="7"/>
      <c r="V430" s="7"/>
      <c r="W430" s="7" t="s">
        <v>43</v>
      </c>
      <c r="X430" s="7"/>
      <c r="Y430" s="7" t="s">
        <v>37</v>
      </c>
      <c r="Z430" s="7" t="s">
        <v>1564</v>
      </c>
      <c r="AA430" s="7"/>
      <c r="AB430" s="10" t="n">
        <v>460000</v>
      </c>
      <c r="AC430" s="10" t="n">
        <v>1</v>
      </c>
    </row>
    <row r="431" customFormat="false" ht="15.75" hidden="true" customHeight="true" outlineLevel="0" collapsed="false">
      <c r="A431" s="6"/>
      <c r="B431" s="7" t="s">
        <v>1297</v>
      </c>
      <c r="C431" s="7" t="s">
        <v>60</v>
      </c>
      <c r="D431" s="7" t="s">
        <v>116</v>
      </c>
      <c r="E431" s="7" t="s">
        <v>1565</v>
      </c>
      <c r="F431" s="8" t="s">
        <v>1566</v>
      </c>
      <c r="G431" s="9" t="n">
        <f aca="false">DATE(2000+VALUE(MID(F431,7,2)),VALUE(MID(F431,4,2)),VALUE(LEFT(F431,2)))</f>
        <v>45506</v>
      </c>
      <c r="H431" s="8" t="s">
        <v>1567</v>
      </c>
      <c r="I431" s="9" t="n">
        <f aca="false">DATE(2000+VALUE(MID(H431,7,2)),VALUE(MID(H431,4,2)),VALUE(LEFT(H431,2)))</f>
        <v>45507</v>
      </c>
      <c r="J431" s="9"/>
      <c r="K431" s="10" t="n">
        <v>712080</v>
      </c>
      <c r="L431" s="10" t="n">
        <v>28483</v>
      </c>
      <c r="M431" s="10" t="n">
        <v>740563</v>
      </c>
      <c r="N431" s="10" t="n">
        <v>0</v>
      </c>
      <c r="O431" s="10" t="n">
        <v>0</v>
      </c>
      <c r="P431" s="10" t="n">
        <v>0</v>
      </c>
      <c r="Q431" s="10" t="n">
        <v>0</v>
      </c>
      <c r="R431" s="10" t="n">
        <v>740563</v>
      </c>
      <c r="S431" s="10" t="n">
        <v>0</v>
      </c>
      <c r="T431" s="7"/>
      <c r="U431" s="7"/>
      <c r="V431" s="7"/>
      <c r="W431" s="7" t="s">
        <v>49</v>
      </c>
      <c r="X431" s="7"/>
      <c r="Y431" s="7" t="s">
        <v>37</v>
      </c>
      <c r="Z431" s="7" t="s">
        <v>1568</v>
      </c>
      <c r="AA431" s="7" t="s">
        <v>1569</v>
      </c>
      <c r="AB431" s="10" t="n">
        <v>712080</v>
      </c>
      <c r="AC431" s="10" t="n">
        <v>1</v>
      </c>
    </row>
    <row r="432" customFormat="false" ht="15.75" hidden="true" customHeight="true" outlineLevel="0" collapsed="false">
      <c r="A432" s="6"/>
      <c r="B432" s="7" t="s">
        <v>1263</v>
      </c>
      <c r="C432" s="7" t="s">
        <v>31</v>
      </c>
      <c r="D432" s="7" t="s">
        <v>105</v>
      </c>
      <c r="E432" s="7" t="s">
        <v>1195</v>
      </c>
      <c r="F432" s="8" t="s">
        <v>1570</v>
      </c>
      <c r="G432" s="9" t="n">
        <f aca="false">DATE(2000+VALUE(MID(F432,7,2)),VALUE(MID(F432,4,2)),VALUE(LEFT(F432,2)))</f>
        <v>45505</v>
      </c>
      <c r="H432" s="8" t="s">
        <v>1571</v>
      </c>
      <c r="I432" s="9" t="n">
        <f aca="false">DATE(2000+VALUE(MID(H432,7,2)),VALUE(MID(H432,4,2)),VALUE(LEFT(H432,2)))</f>
        <v>45507</v>
      </c>
      <c r="J432" s="9"/>
      <c r="K432" s="10" t="n">
        <v>1600000</v>
      </c>
      <c r="L432" s="10" t="n">
        <v>0</v>
      </c>
      <c r="M432" s="10" t="n">
        <v>1600000</v>
      </c>
      <c r="N432" s="10" t="n">
        <v>0</v>
      </c>
      <c r="O432" s="10" t="n">
        <v>0</v>
      </c>
      <c r="P432" s="10" t="n">
        <v>0</v>
      </c>
      <c r="Q432" s="10" t="n">
        <v>1600000</v>
      </c>
      <c r="R432" s="10" t="n">
        <v>0</v>
      </c>
      <c r="S432" s="10" t="n">
        <v>0</v>
      </c>
      <c r="T432" s="7"/>
      <c r="U432" s="7"/>
      <c r="V432" s="7"/>
      <c r="W432" s="7" t="s">
        <v>43</v>
      </c>
      <c r="X432" s="7"/>
      <c r="Y432" s="7" t="s">
        <v>37</v>
      </c>
      <c r="Z432" s="7" t="s">
        <v>72</v>
      </c>
      <c r="AA432" s="7"/>
      <c r="AB432" s="10" t="n">
        <v>800000</v>
      </c>
      <c r="AC432" s="10" t="n">
        <v>2</v>
      </c>
    </row>
    <row r="433" customFormat="false" ht="15.75" hidden="true" customHeight="true" outlineLevel="0" collapsed="false">
      <c r="A433" s="6"/>
      <c r="B433" s="7" t="s">
        <v>1291</v>
      </c>
      <c r="C433" s="7" t="s">
        <v>60</v>
      </c>
      <c r="D433" s="7" t="s">
        <v>164</v>
      </c>
      <c r="E433" s="7" t="s">
        <v>1572</v>
      </c>
      <c r="F433" s="8" t="s">
        <v>1573</v>
      </c>
      <c r="G433" s="9" t="n">
        <f aca="false">DATE(2000+VALUE(MID(F433,7,2)),VALUE(MID(F433,4,2)),VALUE(LEFT(F433,2)))</f>
        <v>45506</v>
      </c>
      <c r="H433" s="8" t="s">
        <v>1571</v>
      </c>
      <c r="I433" s="9" t="n">
        <f aca="false">DATE(2000+VALUE(MID(H433,7,2)),VALUE(MID(H433,4,2)),VALUE(LEFT(H433,2)))</f>
        <v>45507</v>
      </c>
      <c r="J433" s="9"/>
      <c r="K433" s="10" t="n">
        <v>600000</v>
      </c>
      <c r="L433" s="10" t="n">
        <v>44000</v>
      </c>
      <c r="M433" s="10" t="n">
        <v>644000</v>
      </c>
      <c r="N433" s="10" t="n">
        <v>0</v>
      </c>
      <c r="O433" s="10" t="n">
        <v>20000</v>
      </c>
      <c r="P433" s="10" t="n">
        <v>0</v>
      </c>
      <c r="Q433" s="10" t="n">
        <v>0</v>
      </c>
      <c r="R433" s="10" t="n">
        <v>624000</v>
      </c>
      <c r="S433" s="10" t="n">
        <v>0</v>
      </c>
      <c r="T433" s="7"/>
      <c r="U433" s="7"/>
      <c r="V433" s="7"/>
      <c r="W433" s="7" t="s">
        <v>43</v>
      </c>
      <c r="X433" s="7"/>
      <c r="Y433" s="7" t="s">
        <v>37</v>
      </c>
      <c r="Z433" s="7" t="s">
        <v>1574</v>
      </c>
      <c r="AA433" s="7"/>
      <c r="AB433" s="10" t="n">
        <v>600000</v>
      </c>
      <c r="AC433" s="10" t="n">
        <v>1</v>
      </c>
    </row>
    <row r="434" customFormat="false" ht="15.75" hidden="true" customHeight="true" outlineLevel="0" collapsed="false">
      <c r="A434" s="6"/>
      <c r="B434" s="7" t="s">
        <v>1265</v>
      </c>
      <c r="C434" s="7" t="s">
        <v>65</v>
      </c>
      <c r="D434" s="7" t="s">
        <v>66</v>
      </c>
      <c r="E434" s="7" t="s">
        <v>1575</v>
      </c>
      <c r="F434" s="8" t="s">
        <v>1576</v>
      </c>
      <c r="G434" s="9" t="n">
        <f aca="false">DATE(2000+VALUE(MID(F434,7,2)),VALUE(MID(F434,4,2)),VALUE(LEFT(F434,2)))</f>
        <v>45506</v>
      </c>
      <c r="H434" s="8" t="s">
        <v>1577</v>
      </c>
      <c r="I434" s="9" t="n">
        <f aca="false">DATE(2000+VALUE(MID(H434,7,2)),VALUE(MID(H434,4,2)),VALUE(LEFT(H434,2)))</f>
        <v>45507</v>
      </c>
      <c r="J434" s="9"/>
      <c r="K434" s="10" t="n">
        <v>585000</v>
      </c>
      <c r="L434" s="10" t="n">
        <v>0</v>
      </c>
      <c r="M434" s="10" t="n">
        <v>585000</v>
      </c>
      <c r="N434" s="10" t="n">
        <v>0</v>
      </c>
      <c r="O434" s="10" t="n">
        <v>0</v>
      </c>
      <c r="P434" s="10" t="n">
        <v>0</v>
      </c>
      <c r="Q434" s="10" t="n">
        <v>585000</v>
      </c>
      <c r="R434" s="10" t="n">
        <v>0</v>
      </c>
      <c r="S434" s="10" t="n">
        <v>0</v>
      </c>
      <c r="T434" s="7"/>
      <c r="U434" s="7"/>
      <c r="V434" s="7"/>
      <c r="W434" s="7" t="s">
        <v>43</v>
      </c>
      <c r="X434" s="7"/>
      <c r="Y434" s="7" t="s">
        <v>37</v>
      </c>
      <c r="Z434" s="7" t="s">
        <v>32</v>
      </c>
      <c r="AA434" s="7"/>
      <c r="AB434" s="10" t="n">
        <v>585000</v>
      </c>
      <c r="AC434" s="10" t="n">
        <v>1</v>
      </c>
    </row>
    <row r="435" customFormat="false" ht="15.75" hidden="true" customHeight="true" outlineLevel="0" collapsed="false">
      <c r="A435" s="6"/>
      <c r="B435" s="7" t="s">
        <v>1156</v>
      </c>
      <c r="C435" s="7" t="s">
        <v>65</v>
      </c>
      <c r="D435" s="7" t="s">
        <v>76</v>
      </c>
      <c r="E435" s="7" t="s">
        <v>1578</v>
      </c>
      <c r="F435" s="8" t="s">
        <v>1579</v>
      </c>
      <c r="G435" s="9" t="n">
        <f aca="false">DATE(2000+VALUE(MID(F435,7,2)),VALUE(MID(F435,4,2)),VALUE(LEFT(F435,2)))</f>
        <v>45505</v>
      </c>
      <c r="H435" s="8" t="s">
        <v>1580</v>
      </c>
      <c r="I435" s="9" t="n">
        <f aca="false">DATE(2000+VALUE(MID(H435,7,2)),VALUE(MID(H435,4,2)),VALUE(LEFT(H435,2)))</f>
        <v>45508</v>
      </c>
      <c r="J435" s="9"/>
      <c r="K435" s="10" t="n">
        <v>1847000</v>
      </c>
      <c r="L435" s="10" t="n">
        <v>0</v>
      </c>
      <c r="M435" s="10" t="n">
        <v>1847000</v>
      </c>
      <c r="N435" s="10" t="n">
        <v>0</v>
      </c>
      <c r="O435" s="10" t="n">
        <v>0</v>
      </c>
      <c r="P435" s="10" t="n">
        <v>0</v>
      </c>
      <c r="Q435" s="10" t="n">
        <v>1847000</v>
      </c>
      <c r="R435" s="10" t="n">
        <v>0</v>
      </c>
      <c r="S435" s="10" t="n">
        <v>0</v>
      </c>
      <c r="T435" s="7"/>
      <c r="U435" s="7"/>
      <c r="V435" s="7"/>
      <c r="W435" s="7" t="s">
        <v>43</v>
      </c>
      <c r="X435" s="7"/>
      <c r="Y435" s="7" t="s">
        <v>37</v>
      </c>
      <c r="Z435" s="7" t="s">
        <v>1581</v>
      </c>
      <c r="AA435" s="7" t="s">
        <v>1582</v>
      </c>
      <c r="AB435" s="10" t="n">
        <v>615666.6666</v>
      </c>
      <c r="AC435" s="10" t="n">
        <v>3</v>
      </c>
    </row>
    <row r="436" customFormat="false" ht="15.75" hidden="true" customHeight="true" outlineLevel="0" collapsed="false">
      <c r="A436" s="6"/>
      <c r="B436" s="7" t="s">
        <v>1164</v>
      </c>
      <c r="C436" s="7" t="s">
        <v>65</v>
      </c>
      <c r="D436" s="7" t="s">
        <v>96</v>
      </c>
      <c r="E436" s="7" t="s">
        <v>1583</v>
      </c>
      <c r="F436" s="8" t="s">
        <v>1487</v>
      </c>
      <c r="G436" s="9" t="n">
        <f aca="false">DATE(2000+VALUE(MID(F436,7,2)),VALUE(MID(F436,4,2)),VALUE(LEFT(F436,2)))</f>
        <v>45499</v>
      </c>
      <c r="H436" s="8" t="s">
        <v>1584</v>
      </c>
      <c r="I436" s="9" t="n">
        <f aca="false">DATE(2000+VALUE(MID(H436,7,2)),VALUE(MID(H436,4,2)),VALUE(LEFT(H436,2)))</f>
        <v>45508</v>
      </c>
      <c r="J436" s="9"/>
      <c r="K436" s="10" t="n">
        <v>3986840</v>
      </c>
      <c r="L436" s="10" t="n">
        <v>0</v>
      </c>
      <c r="M436" s="10" t="n">
        <v>3986840</v>
      </c>
      <c r="N436" s="10" t="n">
        <v>0</v>
      </c>
      <c r="O436" s="10" t="n">
        <v>0</v>
      </c>
      <c r="P436" s="10" t="n">
        <v>0</v>
      </c>
      <c r="Q436" s="10" t="n">
        <v>0</v>
      </c>
      <c r="R436" s="10" t="n">
        <v>3986840</v>
      </c>
      <c r="S436" s="10" t="n">
        <v>0</v>
      </c>
      <c r="T436" s="7"/>
      <c r="U436" s="7"/>
      <c r="V436" s="7"/>
      <c r="W436" s="7" t="s">
        <v>49</v>
      </c>
      <c r="X436" s="7"/>
      <c r="Y436" s="7" t="s">
        <v>37</v>
      </c>
      <c r="Z436" s="7" t="s">
        <v>1585</v>
      </c>
      <c r="AA436" s="7" t="s">
        <v>1586</v>
      </c>
      <c r="AB436" s="10" t="n">
        <v>442982.2222</v>
      </c>
      <c r="AC436" s="10" t="n">
        <v>9</v>
      </c>
    </row>
    <row r="437" customFormat="false" ht="15.75" hidden="true" customHeight="true" outlineLevel="0" collapsed="false">
      <c r="A437" s="6"/>
      <c r="B437" s="7" t="s">
        <v>1352</v>
      </c>
      <c r="C437" s="7" t="s">
        <v>60</v>
      </c>
      <c r="D437" s="7" t="s">
        <v>164</v>
      </c>
      <c r="E437" s="7" t="s">
        <v>1587</v>
      </c>
      <c r="F437" s="8" t="s">
        <v>1588</v>
      </c>
      <c r="G437" s="9" t="n">
        <f aca="false">DATE(2000+VALUE(MID(F437,7,2)),VALUE(MID(F437,4,2)),VALUE(LEFT(F437,2)))</f>
        <v>45507</v>
      </c>
      <c r="H437" s="8" t="s">
        <v>1584</v>
      </c>
      <c r="I437" s="9" t="n">
        <f aca="false">DATE(2000+VALUE(MID(H437,7,2)),VALUE(MID(H437,4,2)),VALUE(LEFT(H437,2)))</f>
        <v>45508</v>
      </c>
      <c r="J437" s="9"/>
      <c r="K437" s="10" t="n">
        <v>450000</v>
      </c>
      <c r="L437" s="10" t="n">
        <v>0</v>
      </c>
      <c r="M437" s="10" t="n">
        <v>450000</v>
      </c>
      <c r="N437" s="10" t="n">
        <v>0</v>
      </c>
      <c r="O437" s="10" t="n">
        <v>450000</v>
      </c>
      <c r="P437" s="10" t="n">
        <v>0</v>
      </c>
      <c r="Q437" s="10" t="n">
        <v>0</v>
      </c>
      <c r="R437" s="10" t="n">
        <v>0</v>
      </c>
      <c r="S437" s="10" t="n">
        <v>0</v>
      </c>
      <c r="T437" s="7"/>
      <c r="U437" s="7"/>
      <c r="V437" s="7"/>
      <c r="W437" s="7" t="s">
        <v>43</v>
      </c>
      <c r="X437" s="7"/>
      <c r="Y437" s="7" t="s">
        <v>37</v>
      </c>
      <c r="Z437" s="7" t="s">
        <v>1589</v>
      </c>
      <c r="AA437" s="7"/>
      <c r="AB437" s="10" t="n">
        <v>450000</v>
      </c>
      <c r="AC437" s="10" t="n">
        <v>1</v>
      </c>
    </row>
    <row r="438" customFormat="false" ht="15.75" hidden="true" customHeight="true" outlineLevel="0" collapsed="false">
      <c r="A438" s="6"/>
      <c r="B438" s="7" t="s">
        <v>1212</v>
      </c>
      <c r="C438" s="7" t="s">
        <v>60</v>
      </c>
      <c r="D438" s="7" t="s">
        <v>61</v>
      </c>
      <c r="E438" s="7" t="s">
        <v>1590</v>
      </c>
      <c r="F438" s="8" t="s">
        <v>1591</v>
      </c>
      <c r="G438" s="9" t="n">
        <f aca="false">DATE(2000+VALUE(MID(F438,7,2)),VALUE(MID(F438,4,2)),VALUE(LEFT(F438,2)))</f>
        <v>45505</v>
      </c>
      <c r="H438" s="8" t="s">
        <v>1584</v>
      </c>
      <c r="I438" s="9" t="n">
        <f aca="false">DATE(2000+VALUE(MID(H438,7,2)),VALUE(MID(H438,4,2)),VALUE(LEFT(H438,2)))</f>
        <v>45508</v>
      </c>
      <c r="J438" s="9"/>
      <c r="K438" s="10" t="n">
        <v>1532014</v>
      </c>
      <c r="L438" s="10" t="n">
        <v>0</v>
      </c>
      <c r="M438" s="10" t="n">
        <v>1532014</v>
      </c>
      <c r="N438" s="10" t="n">
        <v>0</v>
      </c>
      <c r="O438" s="10" t="n">
        <v>0</v>
      </c>
      <c r="P438" s="10" t="n">
        <v>0</v>
      </c>
      <c r="Q438" s="10" t="n">
        <v>0</v>
      </c>
      <c r="R438" s="10" t="n">
        <v>1532014</v>
      </c>
      <c r="S438" s="10" t="n">
        <v>0</v>
      </c>
      <c r="T438" s="7"/>
      <c r="U438" s="7"/>
      <c r="V438" s="7"/>
      <c r="W438" s="7" t="s">
        <v>49</v>
      </c>
      <c r="X438" s="7"/>
      <c r="Y438" s="7" t="s">
        <v>37</v>
      </c>
      <c r="Z438" s="7" t="s">
        <v>1592</v>
      </c>
      <c r="AA438" s="7" t="s">
        <v>1593</v>
      </c>
      <c r="AB438" s="10" t="n">
        <v>510671.3333</v>
      </c>
      <c r="AC438" s="10" t="n">
        <v>3</v>
      </c>
    </row>
    <row r="439" customFormat="false" ht="15.75" hidden="true" customHeight="true" outlineLevel="0" collapsed="false">
      <c r="A439" s="6"/>
      <c r="B439" s="7" t="s">
        <v>82</v>
      </c>
      <c r="C439" s="7" t="s">
        <v>65</v>
      </c>
      <c r="D439" s="7" t="s">
        <v>82</v>
      </c>
      <c r="E439" s="7" t="s">
        <v>1594</v>
      </c>
      <c r="F439" s="8" t="s">
        <v>1552</v>
      </c>
      <c r="G439" s="9" t="n">
        <f aca="false">DATE(2000+VALUE(MID(F439,7,2)),VALUE(MID(F439,4,2)),VALUE(LEFT(F439,2)))</f>
        <v>45505</v>
      </c>
      <c r="H439" s="8" t="s">
        <v>1595</v>
      </c>
      <c r="I439" s="9" t="n">
        <f aca="false">DATE(2000+VALUE(MID(H439,7,2)),VALUE(MID(H439,4,2)),VALUE(LEFT(H439,2)))</f>
        <v>45508</v>
      </c>
      <c r="J439" s="9"/>
      <c r="K439" s="10" t="n">
        <v>1650000</v>
      </c>
      <c r="L439" s="10" t="n">
        <v>350000</v>
      </c>
      <c r="M439" s="10" t="n">
        <v>2000000</v>
      </c>
      <c r="N439" s="10" t="n">
        <v>0</v>
      </c>
      <c r="O439" s="10" t="n">
        <v>1000000</v>
      </c>
      <c r="P439" s="10" t="n">
        <v>0</v>
      </c>
      <c r="Q439" s="10" t="n">
        <v>1000000</v>
      </c>
      <c r="R439" s="10" t="n">
        <v>0</v>
      </c>
      <c r="S439" s="10" t="n">
        <v>0</v>
      </c>
      <c r="T439" s="7"/>
      <c r="U439" s="7"/>
      <c r="V439" s="7"/>
      <c r="W439" s="7" t="s">
        <v>43</v>
      </c>
      <c r="X439" s="7"/>
      <c r="Y439" s="7" t="s">
        <v>37</v>
      </c>
      <c r="Z439" s="7" t="s">
        <v>1596</v>
      </c>
      <c r="AA439" s="7"/>
      <c r="AB439" s="10" t="n">
        <v>550000</v>
      </c>
      <c r="AC439" s="10" t="n">
        <v>3</v>
      </c>
    </row>
    <row r="440" customFormat="false" ht="15.75" hidden="true" customHeight="true" outlineLevel="0" collapsed="false">
      <c r="A440" s="6"/>
      <c r="B440" s="7" t="s">
        <v>1329</v>
      </c>
      <c r="C440" s="7" t="s">
        <v>31</v>
      </c>
      <c r="D440" s="7" t="s">
        <v>39</v>
      </c>
      <c r="E440" s="7" t="s">
        <v>1597</v>
      </c>
      <c r="F440" s="8" t="s">
        <v>1598</v>
      </c>
      <c r="G440" s="9" t="n">
        <f aca="false">DATE(2000+VALUE(MID(F440,7,2)),VALUE(MID(F440,4,2)),VALUE(LEFT(F440,2)))</f>
        <v>45507</v>
      </c>
      <c r="H440" s="8" t="s">
        <v>1599</v>
      </c>
      <c r="I440" s="9" t="n">
        <f aca="false">DATE(2000+VALUE(MID(H440,7,2)),VALUE(MID(H440,4,2)),VALUE(LEFT(H440,2)))</f>
        <v>45508</v>
      </c>
      <c r="J440" s="9"/>
      <c r="K440" s="10" t="n">
        <v>890000</v>
      </c>
      <c r="L440" s="10" t="n">
        <v>30000</v>
      </c>
      <c r="M440" s="10" t="n">
        <v>920000</v>
      </c>
      <c r="N440" s="10" t="n">
        <v>0</v>
      </c>
      <c r="O440" s="10" t="n">
        <v>30000</v>
      </c>
      <c r="P440" s="10" t="n">
        <v>0</v>
      </c>
      <c r="Q440" s="10" t="n">
        <v>890000</v>
      </c>
      <c r="R440" s="10" t="n">
        <v>0</v>
      </c>
      <c r="S440" s="10" t="n">
        <v>0</v>
      </c>
      <c r="T440" s="7"/>
      <c r="U440" s="7"/>
      <c r="V440" s="7"/>
      <c r="W440" s="7" t="s">
        <v>43</v>
      </c>
      <c r="X440" s="7"/>
      <c r="Y440" s="7" t="s">
        <v>37</v>
      </c>
      <c r="Z440" s="7" t="s">
        <v>1600</v>
      </c>
      <c r="AA440" s="7"/>
      <c r="AB440" s="10" t="n">
        <v>890000</v>
      </c>
      <c r="AC440" s="10" t="n">
        <v>1</v>
      </c>
    </row>
    <row r="441" customFormat="false" ht="15.75" hidden="true" customHeight="true" outlineLevel="0" collapsed="false">
      <c r="A441" s="6"/>
      <c r="B441" s="7" t="s">
        <v>1191</v>
      </c>
      <c r="C441" s="7" t="s">
        <v>60</v>
      </c>
      <c r="D441" s="7" t="s">
        <v>173</v>
      </c>
      <c r="E441" s="7" t="s">
        <v>1601</v>
      </c>
      <c r="F441" s="8" t="s">
        <v>1602</v>
      </c>
      <c r="G441" s="9" t="n">
        <f aca="false">DATE(2000+VALUE(MID(F441,7,2)),VALUE(MID(F441,4,2)),VALUE(LEFT(F441,2)))</f>
        <v>45504</v>
      </c>
      <c r="H441" s="8" t="s">
        <v>1603</v>
      </c>
      <c r="I441" s="9" t="n">
        <f aca="false">DATE(2000+VALUE(MID(H441,7,2)),VALUE(MID(H441,4,2)),VALUE(LEFT(H441,2)))</f>
        <v>45508</v>
      </c>
      <c r="J441" s="9"/>
      <c r="K441" s="10" t="n">
        <v>2696000</v>
      </c>
      <c r="L441" s="10" t="n">
        <v>0</v>
      </c>
      <c r="M441" s="10" t="n">
        <v>2696000</v>
      </c>
      <c r="N441" s="10" t="n">
        <v>0</v>
      </c>
      <c r="O441" s="10" t="n">
        <v>300000</v>
      </c>
      <c r="P441" s="10" t="n">
        <v>0</v>
      </c>
      <c r="Q441" s="10" t="n">
        <v>2396000</v>
      </c>
      <c r="R441" s="10" t="n">
        <v>0</v>
      </c>
      <c r="S441" s="10" t="n">
        <v>0</v>
      </c>
      <c r="T441" s="7"/>
      <c r="U441" s="7"/>
      <c r="V441" s="7"/>
      <c r="W441" s="7" t="s">
        <v>43</v>
      </c>
      <c r="X441" s="7"/>
      <c r="Y441" s="7" t="s">
        <v>37</v>
      </c>
      <c r="Z441" s="7" t="s">
        <v>1604</v>
      </c>
      <c r="AA441" s="7"/>
      <c r="AB441" s="10" t="n">
        <v>674000</v>
      </c>
      <c r="AC441" s="10" t="n">
        <v>4</v>
      </c>
    </row>
    <row r="442" customFormat="false" ht="15.75" hidden="true" customHeight="true" outlineLevel="0" collapsed="false">
      <c r="A442" s="6"/>
      <c r="B442" s="7" t="s">
        <v>1282</v>
      </c>
      <c r="C442" s="7" t="s">
        <v>71</v>
      </c>
      <c r="D442" s="7" t="s">
        <v>92</v>
      </c>
      <c r="E442" s="7" t="s">
        <v>1605</v>
      </c>
      <c r="F442" s="8" t="s">
        <v>1606</v>
      </c>
      <c r="G442" s="9" t="n">
        <f aca="false">DATE(2000+VALUE(MID(F442,7,2)),VALUE(MID(F442,4,2)),VALUE(LEFT(F442,2)))</f>
        <v>45506</v>
      </c>
      <c r="H442" s="8" t="s">
        <v>1607</v>
      </c>
      <c r="I442" s="9" t="n">
        <f aca="false">DATE(2000+VALUE(MID(H442,7,2)),VALUE(MID(H442,4,2)),VALUE(LEFT(H442,2)))</f>
        <v>45509</v>
      </c>
      <c r="J442" s="9"/>
      <c r="K442" s="10" t="n">
        <v>2079132</v>
      </c>
      <c r="L442" s="10" t="n">
        <v>0</v>
      </c>
      <c r="M442" s="10" t="n">
        <v>2079132</v>
      </c>
      <c r="N442" s="10" t="n">
        <v>0</v>
      </c>
      <c r="O442" s="10" t="n">
        <v>0</v>
      </c>
      <c r="P442" s="10" t="n">
        <v>0</v>
      </c>
      <c r="Q442" s="10" t="n">
        <v>0</v>
      </c>
      <c r="R442" s="10" t="n">
        <v>2079132</v>
      </c>
      <c r="S442" s="10" t="n">
        <v>0</v>
      </c>
      <c r="T442" s="7"/>
      <c r="U442" s="7"/>
      <c r="V442" s="7"/>
      <c r="W442" s="7" t="s">
        <v>222</v>
      </c>
      <c r="X442" s="7"/>
      <c r="Y442" s="7" t="s">
        <v>37</v>
      </c>
      <c r="Z442" s="7" t="s">
        <v>1608</v>
      </c>
      <c r="AA442" s="7"/>
      <c r="AB442" s="10" t="n">
        <v>693044</v>
      </c>
      <c r="AC442" s="10" t="n">
        <v>3</v>
      </c>
    </row>
    <row r="443" customFormat="false" ht="15.75" hidden="true" customHeight="true" outlineLevel="0" collapsed="false">
      <c r="A443" s="6"/>
      <c r="B443" s="7" t="s">
        <v>1348</v>
      </c>
      <c r="C443" s="7" t="s">
        <v>71</v>
      </c>
      <c r="D443" s="7" t="s">
        <v>914</v>
      </c>
      <c r="E443" s="7" t="s">
        <v>1609</v>
      </c>
      <c r="F443" s="8" t="s">
        <v>1610</v>
      </c>
      <c r="G443" s="9" t="n">
        <f aca="false">DATE(2000+VALUE(MID(F443,7,2)),VALUE(MID(F443,4,2)),VALUE(LEFT(F443,2)))</f>
        <v>45507</v>
      </c>
      <c r="H443" s="8" t="s">
        <v>1611</v>
      </c>
      <c r="I443" s="9" t="n">
        <f aca="false">DATE(2000+VALUE(MID(H443,7,2)),VALUE(MID(H443,4,2)),VALUE(LEFT(H443,2)))</f>
        <v>45509</v>
      </c>
      <c r="J443" s="9"/>
      <c r="K443" s="10" t="n">
        <v>1300000</v>
      </c>
      <c r="L443" s="10" t="n">
        <v>0</v>
      </c>
      <c r="M443" s="10" t="n">
        <v>1300000</v>
      </c>
      <c r="N443" s="10" t="n">
        <v>0</v>
      </c>
      <c r="O443" s="10" t="n">
        <v>0</v>
      </c>
      <c r="P443" s="10" t="n">
        <v>0</v>
      </c>
      <c r="Q443" s="10" t="n">
        <v>1300000</v>
      </c>
      <c r="R443" s="10" t="n">
        <v>0</v>
      </c>
      <c r="S443" s="10" t="n">
        <v>0</v>
      </c>
      <c r="T443" s="7"/>
      <c r="U443" s="7"/>
      <c r="V443" s="7"/>
      <c r="W443" s="7" t="s">
        <v>43</v>
      </c>
      <c r="X443" s="7"/>
      <c r="Y443" s="7" t="s">
        <v>37</v>
      </c>
      <c r="Z443" s="7" t="s">
        <v>1612</v>
      </c>
      <c r="AA443" s="7"/>
      <c r="AB443" s="10" t="n">
        <v>650000</v>
      </c>
      <c r="AC443" s="10" t="n">
        <v>2</v>
      </c>
    </row>
    <row r="444" customFormat="false" ht="15.75" hidden="true" customHeight="true" outlineLevel="0" collapsed="false">
      <c r="A444" s="6"/>
      <c r="B444" s="7" t="s">
        <v>1550</v>
      </c>
      <c r="C444" s="7" t="s">
        <v>65</v>
      </c>
      <c r="D444" s="7" t="s">
        <v>76</v>
      </c>
      <c r="E444" s="7" t="s">
        <v>1613</v>
      </c>
      <c r="F444" s="8" t="s">
        <v>1614</v>
      </c>
      <c r="G444" s="9" t="n">
        <f aca="false">DATE(2000+VALUE(MID(F444,7,2)),VALUE(MID(F444,4,2)),VALUE(LEFT(F444,2)))</f>
        <v>45508</v>
      </c>
      <c r="H444" s="8" t="s">
        <v>1611</v>
      </c>
      <c r="I444" s="9" t="n">
        <f aca="false">DATE(2000+VALUE(MID(H444,7,2)),VALUE(MID(H444,4,2)),VALUE(LEFT(H444,2)))</f>
        <v>45509</v>
      </c>
      <c r="J444" s="9"/>
      <c r="K444" s="10" t="n">
        <v>549000</v>
      </c>
      <c r="L444" s="10" t="n">
        <v>0</v>
      </c>
      <c r="M444" s="10" t="n">
        <v>549000</v>
      </c>
      <c r="N444" s="10" t="n">
        <v>0</v>
      </c>
      <c r="O444" s="10" t="n">
        <v>0</v>
      </c>
      <c r="P444" s="10" t="n">
        <v>0</v>
      </c>
      <c r="Q444" s="10" t="n">
        <v>549000</v>
      </c>
      <c r="R444" s="10" t="n">
        <v>0</v>
      </c>
      <c r="S444" s="10" t="n">
        <v>0</v>
      </c>
      <c r="T444" s="7"/>
      <c r="U444" s="7"/>
      <c r="V444" s="7"/>
      <c r="W444" s="7" t="s">
        <v>43</v>
      </c>
      <c r="X444" s="7"/>
      <c r="Y444" s="7" t="s">
        <v>37</v>
      </c>
      <c r="Z444" s="7" t="s">
        <v>1615</v>
      </c>
      <c r="AA444" s="7"/>
      <c r="AB444" s="10" t="n">
        <v>549000</v>
      </c>
      <c r="AC444" s="10" t="n">
        <v>1</v>
      </c>
    </row>
    <row r="445" customFormat="false" ht="15.75" hidden="true" customHeight="true" outlineLevel="0" collapsed="false">
      <c r="A445" s="6"/>
      <c r="B445" s="7" t="s">
        <v>1310</v>
      </c>
      <c r="C445" s="7" t="s">
        <v>65</v>
      </c>
      <c r="D445" s="7" t="s">
        <v>66</v>
      </c>
      <c r="E445" s="7" t="s">
        <v>1616</v>
      </c>
      <c r="F445" s="8" t="s">
        <v>1617</v>
      </c>
      <c r="G445" s="9" t="n">
        <f aca="false">DATE(2000+VALUE(MID(F445,7,2)),VALUE(MID(F445,4,2)),VALUE(LEFT(F445,2)))</f>
        <v>45509</v>
      </c>
      <c r="H445" s="8" t="s">
        <v>1618</v>
      </c>
      <c r="I445" s="9" t="n">
        <f aca="false">DATE(2000+VALUE(MID(H445,7,2)),VALUE(MID(H445,4,2)),VALUE(LEFT(H445,2)))</f>
        <v>45510</v>
      </c>
      <c r="J445" s="9"/>
      <c r="K445" s="10" t="n">
        <v>500000</v>
      </c>
      <c r="L445" s="10" t="n">
        <v>0</v>
      </c>
      <c r="M445" s="10" t="n">
        <v>500000</v>
      </c>
      <c r="N445" s="10" t="n">
        <v>0</v>
      </c>
      <c r="O445" s="10" t="n">
        <v>0</v>
      </c>
      <c r="P445" s="10" t="n">
        <v>0</v>
      </c>
      <c r="Q445" s="10" t="n">
        <v>500000</v>
      </c>
      <c r="R445" s="10" t="n">
        <v>0</v>
      </c>
      <c r="S445" s="10" t="n">
        <v>0</v>
      </c>
      <c r="T445" s="7"/>
      <c r="U445" s="7"/>
      <c r="V445" s="7"/>
      <c r="W445" s="7" t="s">
        <v>43</v>
      </c>
      <c r="X445" s="7"/>
      <c r="Y445" s="7" t="s">
        <v>37</v>
      </c>
      <c r="Z445" s="7" t="s">
        <v>1619</v>
      </c>
      <c r="AA445" s="7"/>
      <c r="AB445" s="10" t="n">
        <v>500000</v>
      </c>
      <c r="AC445" s="10" t="n">
        <v>1</v>
      </c>
    </row>
    <row r="446" customFormat="false" ht="15.75" hidden="true" customHeight="true" outlineLevel="0" collapsed="false">
      <c r="A446" s="6"/>
      <c r="B446" s="7" t="s">
        <v>953</v>
      </c>
      <c r="C446" s="7" t="s">
        <v>60</v>
      </c>
      <c r="D446" s="7" t="s">
        <v>116</v>
      </c>
      <c r="E446" s="7" t="s">
        <v>1620</v>
      </c>
      <c r="F446" s="8" t="s">
        <v>1621</v>
      </c>
      <c r="G446" s="9" t="n">
        <f aca="false">DATE(2000+VALUE(MID(F446,7,2)),VALUE(MID(F446,4,2)),VALUE(LEFT(F446,2)))</f>
        <v>45507</v>
      </c>
      <c r="H446" s="8" t="s">
        <v>1622</v>
      </c>
      <c r="I446" s="9" t="n">
        <f aca="false">DATE(2000+VALUE(MID(H446,7,2)),VALUE(MID(H446,4,2)),VALUE(LEFT(H446,2)))</f>
        <v>45510</v>
      </c>
      <c r="J446" s="9"/>
      <c r="K446" s="10" t="n">
        <v>1567611</v>
      </c>
      <c r="L446" s="10" t="n">
        <v>0</v>
      </c>
      <c r="M446" s="10" t="n">
        <v>1567611</v>
      </c>
      <c r="N446" s="10" t="n">
        <v>0</v>
      </c>
      <c r="O446" s="10" t="n">
        <v>0</v>
      </c>
      <c r="P446" s="10" t="n">
        <v>0</v>
      </c>
      <c r="Q446" s="10" t="n">
        <v>0</v>
      </c>
      <c r="R446" s="10" t="n">
        <v>1567611</v>
      </c>
      <c r="S446" s="10" t="n">
        <v>0</v>
      </c>
      <c r="T446" s="7"/>
      <c r="U446" s="7"/>
      <c r="V446" s="7"/>
      <c r="W446" s="7" t="s">
        <v>222</v>
      </c>
      <c r="X446" s="7"/>
      <c r="Y446" s="7" t="s">
        <v>37</v>
      </c>
      <c r="Z446" s="7" t="s">
        <v>1117</v>
      </c>
      <c r="AA446" s="7"/>
      <c r="AB446" s="10" t="n">
        <v>522537</v>
      </c>
      <c r="AC446" s="10" t="n">
        <v>3</v>
      </c>
    </row>
    <row r="447" customFormat="false" ht="15.75" hidden="true" customHeight="true" outlineLevel="0" collapsed="false">
      <c r="A447" s="6"/>
      <c r="B447" s="7" t="s">
        <v>953</v>
      </c>
      <c r="C447" s="7" t="s">
        <v>65</v>
      </c>
      <c r="D447" s="7" t="s">
        <v>87</v>
      </c>
      <c r="E447" s="7" t="s">
        <v>1623</v>
      </c>
      <c r="F447" s="8" t="s">
        <v>1621</v>
      </c>
      <c r="G447" s="9" t="n">
        <f aca="false">DATE(2000+VALUE(MID(F447,7,2)),VALUE(MID(F447,4,2)),VALUE(LEFT(F447,2)))</f>
        <v>45507</v>
      </c>
      <c r="H447" s="8" t="s">
        <v>1622</v>
      </c>
      <c r="I447" s="9" t="n">
        <f aca="false">DATE(2000+VALUE(MID(H447,7,2)),VALUE(MID(H447,4,2)),VALUE(LEFT(H447,2)))</f>
        <v>45510</v>
      </c>
      <c r="J447" s="9"/>
      <c r="K447" s="10" t="n">
        <v>3135223</v>
      </c>
      <c r="L447" s="10" t="n">
        <v>0</v>
      </c>
      <c r="M447" s="10" t="n">
        <v>3135223</v>
      </c>
      <c r="N447" s="10" t="n">
        <v>0</v>
      </c>
      <c r="O447" s="10" t="n">
        <v>0</v>
      </c>
      <c r="P447" s="10" t="n">
        <v>0</v>
      </c>
      <c r="Q447" s="10" t="n">
        <v>0</v>
      </c>
      <c r="R447" s="10" t="n">
        <v>3135223</v>
      </c>
      <c r="S447" s="10" t="n">
        <v>0</v>
      </c>
      <c r="T447" s="7"/>
      <c r="U447" s="7"/>
      <c r="V447" s="7"/>
      <c r="W447" s="7" t="s">
        <v>222</v>
      </c>
      <c r="X447" s="7"/>
      <c r="Y447" s="7" t="s">
        <v>37</v>
      </c>
      <c r="Z447" s="7" t="s">
        <v>1011</v>
      </c>
      <c r="AA447" s="7"/>
      <c r="AB447" s="10" t="n">
        <v>1045074.3333</v>
      </c>
      <c r="AC447" s="10" t="n">
        <v>3</v>
      </c>
    </row>
    <row r="448" customFormat="false" ht="15.75" hidden="true" customHeight="true" outlineLevel="0" collapsed="false">
      <c r="A448" s="6"/>
      <c r="B448" s="7" t="s">
        <v>953</v>
      </c>
      <c r="C448" s="7" t="s">
        <v>31</v>
      </c>
      <c r="D448" s="7" t="s">
        <v>105</v>
      </c>
      <c r="E448" s="7" t="s">
        <v>202</v>
      </c>
      <c r="F448" s="8" t="s">
        <v>1621</v>
      </c>
      <c r="G448" s="9" t="n">
        <f aca="false">DATE(2000+VALUE(MID(F448,7,2)),VALUE(MID(F448,4,2)),VALUE(LEFT(F448,2)))</f>
        <v>45507</v>
      </c>
      <c r="H448" s="8" t="s">
        <v>1622</v>
      </c>
      <c r="I448" s="9" t="n">
        <f aca="false">DATE(2000+VALUE(MID(H448,7,2)),VALUE(MID(H448,4,2)),VALUE(LEFT(H448,2)))</f>
        <v>45510</v>
      </c>
      <c r="J448" s="9"/>
      <c r="K448" s="10" t="n">
        <v>1567611</v>
      </c>
      <c r="L448" s="10" t="n">
        <v>0</v>
      </c>
      <c r="M448" s="10" t="n">
        <v>1567611</v>
      </c>
      <c r="N448" s="10" t="n">
        <v>0</v>
      </c>
      <c r="O448" s="10" t="n">
        <v>0</v>
      </c>
      <c r="P448" s="10" t="n">
        <v>0</v>
      </c>
      <c r="Q448" s="10" t="n">
        <v>0</v>
      </c>
      <c r="R448" s="10" t="n">
        <v>1567611</v>
      </c>
      <c r="S448" s="10" t="n">
        <v>0</v>
      </c>
      <c r="T448" s="7"/>
      <c r="U448" s="7"/>
      <c r="V448" s="7"/>
      <c r="W448" s="7" t="s">
        <v>222</v>
      </c>
      <c r="X448" s="7"/>
      <c r="Y448" s="7" t="s">
        <v>37</v>
      </c>
      <c r="Z448" s="7" t="s">
        <v>996</v>
      </c>
      <c r="AA448" s="7"/>
      <c r="AB448" s="10" t="n">
        <v>522537</v>
      </c>
      <c r="AC448" s="10" t="n">
        <v>3</v>
      </c>
    </row>
    <row r="449" customFormat="false" ht="15.75" hidden="true" customHeight="true" outlineLevel="0" collapsed="false">
      <c r="A449" s="6"/>
      <c r="B449" s="7" t="s">
        <v>953</v>
      </c>
      <c r="C449" s="7" t="s">
        <v>31</v>
      </c>
      <c r="D449" s="7" t="s">
        <v>32</v>
      </c>
      <c r="E449" s="7" t="s">
        <v>202</v>
      </c>
      <c r="F449" s="8" t="s">
        <v>1621</v>
      </c>
      <c r="G449" s="9" t="n">
        <f aca="false">DATE(2000+VALUE(MID(F449,7,2)),VALUE(MID(F449,4,2)),VALUE(LEFT(F449,2)))</f>
        <v>45507</v>
      </c>
      <c r="H449" s="8" t="s">
        <v>1622</v>
      </c>
      <c r="I449" s="9" t="n">
        <f aca="false">DATE(2000+VALUE(MID(H449,7,2)),VALUE(MID(H449,4,2)),VALUE(LEFT(H449,2)))</f>
        <v>45510</v>
      </c>
      <c r="J449" s="9"/>
      <c r="K449" s="10" t="n">
        <v>1567611</v>
      </c>
      <c r="L449" s="10" t="n">
        <v>0</v>
      </c>
      <c r="M449" s="10" t="n">
        <v>1567611</v>
      </c>
      <c r="N449" s="10" t="n">
        <v>0</v>
      </c>
      <c r="O449" s="10" t="n">
        <v>0</v>
      </c>
      <c r="P449" s="10" t="n">
        <v>0</v>
      </c>
      <c r="Q449" s="10" t="n">
        <v>0</v>
      </c>
      <c r="R449" s="10" t="n">
        <v>1567611</v>
      </c>
      <c r="S449" s="10" t="n">
        <v>0</v>
      </c>
      <c r="T449" s="7"/>
      <c r="U449" s="7"/>
      <c r="V449" s="7"/>
      <c r="W449" s="7" t="s">
        <v>222</v>
      </c>
      <c r="X449" s="7"/>
      <c r="Y449" s="7" t="s">
        <v>37</v>
      </c>
      <c r="Z449" s="7" t="s">
        <v>1026</v>
      </c>
      <c r="AA449" s="7"/>
      <c r="AB449" s="10" t="n">
        <v>522537</v>
      </c>
      <c r="AC449" s="10" t="n">
        <v>3</v>
      </c>
    </row>
    <row r="450" customFormat="false" ht="15.75" hidden="true" customHeight="true" outlineLevel="0" collapsed="false">
      <c r="A450" s="6"/>
      <c r="B450" s="7" t="s">
        <v>953</v>
      </c>
      <c r="C450" s="7" t="s">
        <v>31</v>
      </c>
      <c r="D450" s="7" t="s">
        <v>45</v>
      </c>
      <c r="E450" s="7" t="s">
        <v>202</v>
      </c>
      <c r="F450" s="8" t="s">
        <v>1621</v>
      </c>
      <c r="G450" s="9" t="n">
        <f aca="false">DATE(2000+VALUE(MID(F450,7,2)),VALUE(MID(F450,4,2)),VALUE(LEFT(F450,2)))</f>
        <v>45507</v>
      </c>
      <c r="H450" s="8" t="s">
        <v>1622</v>
      </c>
      <c r="I450" s="9" t="n">
        <f aca="false">DATE(2000+VALUE(MID(H450,7,2)),VALUE(MID(H450,4,2)),VALUE(LEFT(H450,2)))</f>
        <v>45510</v>
      </c>
      <c r="J450" s="9"/>
      <c r="K450" s="10" t="n">
        <v>1567611</v>
      </c>
      <c r="L450" s="10" t="n">
        <v>0</v>
      </c>
      <c r="M450" s="10" t="n">
        <v>1567611</v>
      </c>
      <c r="N450" s="10" t="n">
        <v>0</v>
      </c>
      <c r="O450" s="10" t="n">
        <v>0</v>
      </c>
      <c r="P450" s="10" t="n">
        <v>0</v>
      </c>
      <c r="Q450" s="10" t="n">
        <v>0</v>
      </c>
      <c r="R450" s="10" t="n">
        <v>1567611</v>
      </c>
      <c r="S450" s="10" t="n">
        <v>0</v>
      </c>
      <c r="T450" s="7"/>
      <c r="U450" s="7"/>
      <c r="V450" s="7"/>
      <c r="W450" s="7" t="s">
        <v>222</v>
      </c>
      <c r="X450" s="7"/>
      <c r="Y450" s="7" t="s">
        <v>37</v>
      </c>
      <c r="Z450" s="7" t="s">
        <v>991</v>
      </c>
      <c r="AA450" s="7"/>
      <c r="AB450" s="10" t="n">
        <v>522537</v>
      </c>
      <c r="AC450" s="10" t="n">
        <v>3</v>
      </c>
    </row>
    <row r="451" customFormat="false" ht="15.75" hidden="true" customHeight="true" outlineLevel="0" collapsed="false">
      <c r="A451" s="6"/>
      <c r="B451" s="7" t="s">
        <v>1363</v>
      </c>
      <c r="C451" s="7" t="s">
        <v>65</v>
      </c>
      <c r="D451" s="7" t="s">
        <v>96</v>
      </c>
      <c r="E451" s="7" t="s">
        <v>1624</v>
      </c>
      <c r="F451" s="8" t="s">
        <v>1614</v>
      </c>
      <c r="G451" s="9" t="n">
        <f aca="false">DATE(2000+VALUE(MID(F451,7,2)),VALUE(MID(F451,4,2)),VALUE(LEFT(F451,2)))</f>
        <v>45508</v>
      </c>
      <c r="H451" s="8" t="s">
        <v>1622</v>
      </c>
      <c r="I451" s="9" t="n">
        <f aca="false">DATE(2000+VALUE(MID(H451,7,2)),VALUE(MID(H451,4,2)),VALUE(LEFT(H451,2)))</f>
        <v>45510</v>
      </c>
      <c r="J451" s="9"/>
      <c r="K451" s="10" t="n">
        <v>1098000</v>
      </c>
      <c r="L451" s="10" t="n">
        <v>0</v>
      </c>
      <c r="M451" s="10" t="n">
        <v>1098000</v>
      </c>
      <c r="N451" s="10" t="n">
        <v>0</v>
      </c>
      <c r="O451" s="10" t="n">
        <v>798000</v>
      </c>
      <c r="P451" s="10" t="n">
        <v>0</v>
      </c>
      <c r="Q451" s="10" t="n">
        <v>300000</v>
      </c>
      <c r="R451" s="10" t="n">
        <v>0</v>
      </c>
      <c r="S451" s="10" t="n">
        <v>0</v>
      </c>
      <c r="T451" s="7"/>
      <c r="U451" s="7"/>
      <c r="V451" s="7"/>
      <c r="W451" s="7" t="s">
        <v>43</v>
      </c>
      <c r="X451" s="7"/>
      <c r="Y451" s="7" t="s">
        <v>37</v>
      </c>
      <c r="Z451" s="7" t="s">
        <v>1625</v>
      </c>
      <c r="AA451" s="7"/>
      <c r="AB451" s="10" t="n">
        <v>549000</v>
      </c>
      <c r="AC451" s="10" t="n">
        <v>2</v>
      </c>
    </row>
    <row r="452" customFormat="false" ht="15.75" hidden="true" customHeight="true" outlineLevel="0" collapsed="false">
      <c r="A452" s="6"/>
      <c r="B452" s="7" t="s">
        <v>1278</v>
      </c>
      <c r="C452" s="7" t="s">
        <v>71</v>
      </c>
      <c r="D452" s="7" t="s">
        <v>72</v>
      </c>
      <c r="E452" s="7" t="s">
        <v>1626</v>
      </c>
      <c r="F452" s="8" t="s">
        <v>1627</v>
      </c>
      <c r="G452" s="9" t="n">
        <f aca="false">DATE(2000+VALUE(MID(F452,7,2)),VALUE(MID(F452,4,2)),VALUE(LEFT(F452,2)))</f>
        <v>45506</v>
      </c>
      <c r="H452" s="8" t="s">
        <v>1628</v>
      </c>
      <c r="I452" s="9" t="n">
        <f aca="false">DATE(2000+VALUE(MID(H452,7,2)),VALUE(MID(H452,4,2)),VALUE(LEFT(H452,2)))</f>
        <v>45510</v>
      </c>
      <c r="J452" s="9"/>
      <c r="K452" s="10" t="n">
        <v>6148220</v>
      </c>
      <c r="L452" s="10" t="n">
        <v>0</v>
      </c>
      <c r="M452" s="10" t="n">
        <v>6148220</v>
      </c>
      <c r="N452" s="10" t="n">
        <v>0</v>
      </c>
      <c r="O452" s="10" t="n">
        <v>0</v>
      </c>
      <c r="P452" s="10" t="n">
        <v>0</v>
      </c>
      <c r="Q452" s="10" t="n">
        <v>0</v>
      </c>
      <c r="R452" s="10" t="n">
        <v>6148220</v>
      </c>
      <c r="S452" s="10" t="n">
        <v>0</v>
      </c>
      <c r="T452" s="7"/>
      <c r="U452" s="7"/>
      <c r="V452" s="7"/>
      <c r="W452" s="7" t="s">
        <v>36</v>
      </c>
      <c r="X452" s="7"/>
      <c r="Y452" s="7" t="s">
        <v>37</v>
      </c>
      <c r="Z452" s="7" t="s">
        <v>1629</v>
      </c>
      <c r="AA452" s="7"/>
      <c r="AB452" s="10" t="n">
        <v>1537055</v>
      </c>
      <c r="AC452" s="10" t="n">
        <v>4</v>
      </c>
    </row>
    <row r="453" customFormat="false" ht="15.75" hidden="true" customHeight="true" outlineLevel="0" collapsed="false">
      <c r="A453" s="6"/>
      <c r="B453" s="7" t="s">
        <v>1268</v>
      </c>
      <c r="C453" s="7" t="s">
        <v>65</v>
      </c>
      <c r="D453" s="7" t="s">
        <v>76</v>
      </c>
      <c r="E453" s="7" t="s">
        <v>1630</v>
      </c>
      <c r="F453" s="8" t="s">
        <v>1631</v>
      </c>
      <c r="G453" s="9" t="n">
        <f aca="false">DATE(2000+VALUE(MID(F453,7,2)),VALUE(MID(F453,4,2)),VALUE(LEFT(F453,2)))</f>
        <v>45510</v>
      </c>
      <c r="H453" s="8" t="s">
        <v>1632</v>
      </c>
      <c r="I453" s="9" t="n">
        <f aca="false">DATE(2000+VALUE(MID(H453,7,2)),VALUE(MID(H453,4,2)),VALUE(LEFT(H453,2)))</f>
        <v>45511</v>
      </c>
      <c r="J453" s="9"/>
      <c r="K453" s="10" t="n">
        <v>500000</v>
      </c>
      <c r="L453" s="10" t="n">
        <v>0</v>
      </c>
      <c r="M453" s="10" t="n">
        <v>500000</v>
      </c>
      <c r="N453" s="10" t="n">
        <v>0</v>
      </c>
      <c r="O453" s="10" t="n">
        <v>250000</v>
      </c>
      <c r="P453" s="10" t="n">
        <v>0</v>
      </c>
      <c r="Q453" s="10" t="n">
        <v>250000</v>
      </c>
      <c r="R453" s="10" t="n">
        <v>0</v>
      </c>
      <c r="S453" s="10" t="n">
        <v>0</v>
      </c>
      <c r="T453" s="7"/>
      <c r="U453" s="7"/>
      <c r="V453" s="7"/>
      <c r="W453" s="7" t="s">
        <v>36</v>
      </c>
      <c r="X453" s="7"/>
      <c r="Y453" s="7" t="s">
        <v>37</v>
      </c>
      <c r="Z453" s="7" t="s">
        <v>1633</v>
      </c>
      <c r="AA453" s="7"/>
      <c r="AB453" s="10" t="n">
        <v>500000</v>
      </c>
      <c r="AC453" s="10" t="n">
        <v>1</v>
      </c>
    </row>
    <row r="454" customFormat="false" ht="15.75" hidden="true" customHeight="true" outlineLevel="0" collapsed="false">
      <c r="A454" s="6"/>
      <c r="B454" s="7" t="s">
        <v>1356</v>
      </c>
      <c r="C454" s="7" t="s">
        <v>60</v>
      </c>
      <c r="D454" s="7" t="s">
        <v>164</v>
      </c>
      <c r="E454" s="7" t="s">
        <v>1634</v>
      </c>
      <c r="F454" s="8" t="s">
        <v>1635</v>
      </c>
      <c r="G454" s="9" t="n">
        <f aca="false">DATE(2000+VALUE(MID(F454,7,2)),VALUE(MID(F454,4,2)),VALUE(LEFT(F454,2)))</f>
        <v>45510</v>
      </c>
      <c r="H454" s="8" t="s">
        <v>1636</v>
      </c>
      <c r="I454" s="9" t="n">
        <f aca="false">DATE(2000+VALUE(MID(H454,7,2)),VALUE(MID(H454,4,2)),VALUE(LEFT(H454,2)))</f>
        <v>45511</v>
      </c>
      <c r="J454" s="9"/>
      <c r="K454" s="10" t="n">
        <v>500000</v>
      </c>
      <c r="L454" s="10" t="n">
        <v>0</v>
      </c>
      <c r="M454" s="10" t="n">
        <v>500000</v>
      </c>
      <c r="N454" s="10" t="n">
        <v>0</v>
      </c>
      <c r="O454" s="10" t="n">
        <v>500000</v>
      </c>
      <c r="P454" s="10" t="n">
        <v>0</v>
      </c>
      <c r="Q454" s="10" t="n">
        <v>0</v>
      </c>
      <c r="R454" s="10" t="n">
        <v>0</v>
      </c>
      <c r="S454" s="10" t="n">
        <v>0</v>
      </c>
      <c r="T454" s="7"/>
      <c r="U454" s="7"/>
      <c r="V454" s="7"/>
      <c r="W454" s="7" t="s">
        <v>43</v>
      </c>
      <c r="X454" s="7"/>
      <c r="Y454" s="7" t="s">
        <v>37</v>
      </c>
      <c r="Z454" s="7" t="s">
        <v>1637</v>
      </c>
      <c r="AA454" s="7"/>
      <c r="AB454" s="10" t="n">
        <v>500000</v>
      </c>
      <c r="AC454" s="10" t="n">
        <v>1</v>
      </c>
    </row>
    <row r="455" customFormat="false" ht="15.75" hidden="true" customHeight="true" outlineLevel="0" collapsed="false">
      <c r="A455" s="6"/>
      <c r="B455" s="7" t="s">
        <v>1301</v>
      </c>
      <c r="C455" s="7" t="s">
        <v>31</v>
      </c>
      <c r="D455" s="7" t="s">
        <v>105</v>
      </c>
      <c r="E455" s="7" t="s">
        <v>1031</v>
      </c>
      <c r="F455" s="8" t="s">
        <v>1638</v>
      </c>
      <c r="G455" s="9" t="n">
        <f aca="false">DATE(2000+VALUE(MID(F455,7,2)),VALUE(MID(F455,4,2)),VALUE(LEFT(F455,2)))</f>
        <v>45510</v>
      </c>
      <c r="H455" s="8" t="s">
        <v>1639</v>
      </c>
      <c r="I455" s="9" t="n">
        <f aca="false">DATE(2000+VALUE(MID(H455,7,2)),VALUE(MID(H455,4,2)),VALUE(LEFT(H455,2)))</f>
        <v>45511</v>
      </c>
      <c r="J455" s="9"/>
      <c r="K455" s="10" t="n">
        <v>850000</v>
      </c>
      <c r="L455" s="10" t="n">
        <v>0</v>
      </c>
      <c r="M455" s="10" t="n">
        <v>850000</v>
      </c>
      <c r="N455" s="10" t="n">
        <v>0</v>
      </c>
      <c r="O455" s="10" t="n">
        <v>0</v>
      </c>
      <c r="P455" s="10" t="n">
        <v>0</v>
      </c>
      <c r="Q455" s="10" t="n">
        <v>850000</v>
      </c>
      <c r="R455" s="10" t="n">
        <v>0</v>
      </c>
      <c r="S455" s="10" t="n">
        <v>0</v>
      </c>
      <c r="T455" s="7"/>
      <c r="U455" s="7"/>
      <c r="V455" s="7"/>
      <c r="W455" s="7" t="s">
        <v>43</v>
      </c>
      <c r="X455" s="7"/>
      <c r="Y455" s="7" t="s">
        <v>37</v>
      </c>
      <c r="Z455" s="7" t="s">
        <v>1640</v>
      </c>
      <c r="AA455" s="7"/>
      <c r="AB455" s="10" t="n">
        <v>850000</v>
      </c>
      <c r="AC455" s="10" t="n">
        <v>1</v>
      </c>
    </row>
    <row r="456" customFormat="false" ht="15.75" hidden="true" customHeight="true" outlineLevel="0" collapsed="false">
      <c r="A456" s="6"/>
      <c r="B456" s="7" t="s">
        <v>1241</v>
      </c>
      <c r="C456" s="7" t="s">
        <v>65</v>
      </c>
      <c r="D456" s="7" t="s">
        <v>66</v>
      </c>
      <c r="E456" s="7" t="s">
        <v>1641</v>
      </c>
      <c r="F456" s="8" t="s">
        <v>1642</v>
      </c>
      <c r="G456" s="9" t="n">
        <f aca="false">DATE(2000+VALUE(MID(F456,7,2)),VALUE(MID(F456,4,2)),VALUE(LEFT(F456,2)))</f>
        <v>45510</v>
      </c>
      <c r="H456" s="8" t="s">
        <v>1643</v>
      </c>
      <c r="I456" s="9" t="n">
        <f aca="false">DATE(2000+VALUE(MID(H456,7,2)),VALUE(MID(H456,4,2)),VALUE(LEFT(H456,2)))</f>
        <v>45512</v>
      </c>
      <c r="J456" s="9"/>
      <c r="K456" s="10" t="n">
        <v>1098000</v>
      </c>
      <c r="L456" s="10" t="n">
        <v>0</v>
      </c>
      <c r="M456" s="10" t="n">
        <v>1098000</v>
      </c>
      <c r="N456" s="10" t="n">
        <v>0</v>
      </c>
      <c r="O456" s="10" t="n">
        <v>0</v>
      </c>
      <c r="P456" s="10" t="n">
        <v>0</v>
      </c>
      <c r="Q456" s="10" t="n">
        <v>1098000</v>
      </c>
      <c r="R456" s="10" t="n">
        <v>0</v>
      </c>
      <c r="S456" s="10" t="n">
        <v>0</v>
      </c>
      <c r="T456" s="7"/>
      <c r="U456" s="7"/>
      <c r="V456" s="7"/>
      <c r="W456" s="7" t="s">
        <v>43</v>
      </c>
      <c r="X456" s="7"/>
      <c r="Y456" s="7" t="s">
        <v>37</v>
      </c>
      <c r="Z456" s="7" t="s">
        <v>1644</v>
      </c>
      <c r="AA456" s="7"/>
      <c r="AB456" s="10" t="n">
        <v>549000</v>
      </c>
      <c r="AC456" s="10" t="n">
        <v>2</v>
      </c>
    </row>
    <row r="457" customFormat="false" ht="15.75" hidden="true" customHeight="true" outlineLevel="0" collapsed="false">
      <c r="A457" s="6"/>
      <c r="B457" s="7" t="s">
        <v>1539</v>
      </c>
      <c r="C457" s="7" t="s">
        <v>65</v>
      </c>
      <c r="D457" s="7" t="s">
        <v>87</v>
      </c>
      <c r="E457" s="7" t="s">
        <v>1645</v>
      </c>
      <c r="F457" s="8" t="s">
        <v>1646</v>
      </c>
      <c r="G457" s="9" t="n">
        <f aca="false">DATE(2000+VALUE(MID(F457,7,2)),VALUE(MID(F457,4,2)),VALUE(LEFT(F457,2)))</f>
        <v>45511</v>
      </c>
      <c r="H457" s="8" t="s">
        <v>1647</v>
      </c>
      <c r="I457" s="9" t="n">
        <f aca="false">DATE(2000+VALUE(MID(H457,7,2)),VALUE(MID(H457,4,2)),VALUE(LEFT(H457,2)))</f>
        <v>45512</v>
      </c>
      <c r="J457" s="9"/>
      <c r="K457" s="10" t="n">
        <v>549000</v>
      </c>
      <c r="L457" s="10" t="n">
        <v>0</v>
      </c>
      <c r="M457" s="10" t="n">
        <v>549000</v>
      </c>
      <c r="N457" s="10" t="n">
        <v>0</v>
      </c>
      <c r="O457" s="10" t="n">
        <v>0</v>
      </c>
      <c r="P457" s="10" t="n">
        <v>0</v>
      </c>
      <c r="Q457" s="10" t="n">
        <v>549000</v>
      </c>
      <c r="R457" s="10" t="n">
        <v>0</v>
      </c>
      <c r="S457" s="10" t="n">
        <v>0</v>
      </c>
      <c r="T457" s="7"/>
      <c r="U457" s="7"/>
      <c r="V457" s="7"/>
      <c r="W457" s="7" t="s">
        <v>43</v>
      </c>
      <c r="X457" s="7"/>
      <c r="Y457" s="7" t="s">
        <v>37</v>
      </c>
      <c r="Z457" s="7" t="s">
        <v>1648</v>
      </c>
      <c r="AA457" s="7"/>
      <c r="AB457" s="10" t="n">
        <v>549000</v>
      </c>
      <c r="AC457" s="10" t="n">
        <v>1</v>
      </c>
    </row>
    <row r="458" customFormat="false" ht="15.75" hidden="true" customHeight="true" outlineLevel="0" collapsed="false">
      <c r="A458" s="6"/>
      <c r="B458" s="7" t="s">
        <v>1286</v>
      </c>
      <c r="C458" s="7" t="s">
        <v>31</v>
      </c>
      <c r="D458" s="7" t="s">
        <v>337</v>
      </c>
      <c r="E458" s="7" t="s">
        <v>202</v>
      </c>
      <c r="F458" s="8" t="s">
        <v>1649</v>
      </c>
      <c r="G458" s="9" t="n">
        <f aca="false">DATE(2000+VALUE(MID(F458,7,2)),VALUE(MID(F458,4,2)),VALUE(LEFT(F458,2)))</f>
        <v>45509</v>
      </c>
      <c r="H458" s="8" t="s">
        <v>1650</v>
      </c>
      <c r="I458" s="9" t="n">
        <f aca="false">DATE(2000+VALUE(MID(H458,7,2)),VALUE(MID(H458,4,2)),VALUE(LEFT(H458,2)))</f>
        <v>45512</v>
      </c>
      <c r="J458" s="9"/>
      <c r="K458" s="10" t="n">
        <v>2250000</v>
      </c>
      <c r="L458" s="10" t="n">
        <v>0</v>
      </c>
      <c r="M458" s="10" t="n">
        <v>2250000</v>
      </c>
      <c r="N458" s="10" t="n">
        <v>0</v>
      </c>
      <c r="O458" s="10" t="n">
        <v>0</v>
      </c>
      <c r="P458" s="10" t="n">
        <v>0</v>
      </c>
      <c r="Q458" s="10" t="n">
        <v>2250000</v>
      </c>
      <c r="R458" s="10" t="n">
        <v>0</v>
      </c>
      <c r="S458" s="10" t="n">
        <v>0</v>
      </c>
      <c r="T458" s="7"/>
      <c r="U458" s="7"/>
      <c r="V458" s="7"/>
      <c r="W458" s="7" t="s">
        <v>43</v>
      </c>
      <c r="X458" s="7"/>
      <c r="Y458" s="7" t="s">
        <v>37</v>
      </c>
      <c r="Z458" s="7" t="s">
        <v>1651</v>
      </c>
      <c r="AA458" s="7"/>
      <c r="AB458" s="10" t="n">
        <v>750000</v>
      </c>
      <c r="AC458" s="10" t="n">
        <v>3</v>
      </c>
    </row>
    <row r="459" customFormat="false" ht="15.75" hidden="true" customHeight="true" outlineLevel="0" collapsed="false">
      <c r="A459" s="6"/>
      <c r="B459" s="7" t="s">
        <v>1286</v>
      </c>
      <c r="C459" s="7" t="s">
        <v>31</v>
      </c>
      <c r="D459" s="7" t="s">
        <v>361</v>
      </c>
      <c r="E459" s="7" t="s">
        <v>202</v>
      </c>
      <c r="F459" s="8" t="s">
        <v>1649</v>
      </c>
      <c r="G459" s="9" t="n">
        <f aca="false">DATE(2000+VALUE(MID(F459,7,2)),VALUE(MID(F459,4,2)),VALUE(LEFT(F459,2)))</f>
        <v>45509</v>
      </c>
      <c r="H459" s="8" t="s">
        <v>1650</v>
      </c>
      <c r="I459" s="9" t="n">
        <f aca="false">DATE(2000+VALUE(MID(H459,7,2)),VALUE(MID(H459,4,2)),VALUE(LEFT(H459,2)))</f>
        <v>45512</v>
      </c>
      <c r="J459" s="9"/>
      <c r="K459" s="10" t="n">
        <v>2250000</v>
      </c>
      <c r="L459" s="10" t="n">
        <v>0</v>
      </c>
      <c r="M459" s="10" t="n">
        <v>2250000</v>
      </c>
      <c r="N459" s="10" t="n">
        <v>0</v>
      </c>
      <c r="O459" s="10" t="n">
        <v>0</v>
      </c>
      <c r="P459" s="10" t="n">
        <v>0</v>
      </c>
      <c r="Q459" s="10" t="n">
        <v>2250000</v>
      </c>
      <c r="R459" s="10" t="n">
        <v>0</v>
      </c>
      <c r="S459" s="10" t="n">
        <v>0</v>
      </c>
      <c r="T459" s="7"/>
      <c r="U459" s="7"/>
      <c r="V459" s="7"/>
      <c r="W459" s="7" t="s">
        <v>43</v>
      </c>
      <c r="X459" s="7"/>
      <c r="Y459" s="7" t="s">
        <v>37</v>
      </c>
      <c r="Z459" s="7" t="s">
        <v>1652</v>
      </c>
      <c r="AA459" s="7"/>
      <c r="AB459" s="10" t="n">
        <v>750000</v>
      </c>
      <c r="AC459" s="10" t="n">
        <v>3</v>
      </c>
    </row>
    <row r="460" customFormat="false" ht="15.75" hidden="true" customHeight="true" outlineLevel="0" collapsed="false">
      <c r="A460" s="6"/>
      <c r="B460" s="7" t="s">
        <v>1286</v>
      </c>
      <c r="C460" s="7" t="s">
        <v>31</v>
      </c>
      <c r="D460" s="7" t="s">
        <v>39</v>
      </c>
      <c r="E460" s="7" t="s">
        <v>1653</v>
      </c>
      <c r="F460" s="8" t="s">
        <v>1654</v>
      </c>
      <c r="G460" s="9" t="n">
        <f aca="false">DATE(2000+VALUE(MID(F460,7,2)),VALUE(MID(F460,4,2)),VALUE(LEFT(F460,2)))</f>
        <v>45509</v>
      </c>
      <c r="H460" s="8" t="s">
        <v>1650</v>
      </c>
      <c r="I460" s="9" t="n">
        <f aca="false">DATE(2000+VALUE(MID(H460,7,2)),VALUE(MID(H460,4,2)),VALUE(LEFT(H460,2)))</f>
        <v>45512</v>
      </c>
      <c r="J460" s="9"/>
      <c r="K460" s="10" t="n">
        <v>2250000</v>
      </c>
      <c r="L460" s="10" t="n">
        <v>0</v>
      </c>
      <c r="M460" s="10" t="n">
        <v>2250000</v>
      </c>
      <c r="N460" s="10" t="n">
        <v>0</v>
      </c>
      <c r="O460" s="10" t="n">
        <v>0</v>
      </c>
      <c r="P460" s="10" t="n">
        <v>0</v>
      </c>
      <c r="Q460" s="10" t="n">
        <v>2250000</v>
      </c>
      <c r="R460" s="10" t="n">
        <v>0</v>
      </c>
      <c r="S460" s="10" t="n">
        <v>0</v>
      </c>
      <c r="T460" s="7"/>
      <c r="U460" s="7"/>
      <c r="V460" s="7"/>
      <c r="W460" s="7" t="s">
        <v>43</v>
      </c>
      <c r="X460" s="7"/>
      <c r="Y460" s="7" t="s">
        <v>37</v>
      </c>
      <c r="Z460" s="7" t="s">
        <v>1655</v>
      </c>
      <c r="AA460" s="7"/>
      <c r="AB460" s="10" t="n">
        <v>750000</v>
      </c>
      <c r="AC460" s="10" t="n">
        <v>3</v>
      </c>
    </row>
    <row r="461" customFormat="false" ht="15.75" hidden="true" customHeight="true" outlineLevel="0" collapsed="false">
      <c r="A461" s="6"/>
      <c r="B461" s="7" t="s">
        <v>1341</v>
      </c>
      <c r="C461" s="7" t="s">
        <v>65</v>
      </c>
      <c r="D461" s="7" t="s">
        <v>76</v>
      </c>
      <c r="E461" s="7" t="s">
        <v>1656</v>
      </c>
      <c r="F461" s="8" t="s">
        <v>1657</v>
      </c>
      <c r="G461" s="9" t="n">
        <f aca="false">DATE(2000+VALUE(MID(F461,7,2)),VALUE(MID(F461,4,2)),VALUE(LEFT(F461,2)))</f>
        <v>45511</v>
      </c>
      <c r="H461" s="8" t="s">
        <v>1658</v>
      </c>
      <c r="I461" s="9" t="n">
        <f aca="false">DATE(2000+VALUE(MID(H461,7,2)),VALUE(MID(H461,4,2)),VALUE(LEFT(H461,2)))</f>
        <v>45512</v>
      </c>
      <c r="J461" s="9"/>
      <c r="K461" s="10" t="n">
        <v>549000</v>
      </c>
      <c r="L461" s="10" t="n">
        <v>0</v>
      </c>
      <c r="M461" s="10" t="n">
        <v>549000</v>
      </c>
      <c r="N461" s="10" t="n">
        <v>0</v>
      </c>
      <c r="O461" s="10" t="n">
        <v>249000</v>
      </c>
      <c r="P461" s="10" t="n">
        <v>0</v>
      </c>
      <c r="Q461" s="10" t="n">
        <v>300000</v>
      </c>
      <c r="R461" s="10" t="n">
        <v>0</v>
      </c>
      <c r="S461" s="10" t="n">
        <v>0</v>
      </c>
      <c r="T461" s="7"/>
      <c r="U461" s="7"/>
      <c r="V461" s="7"/>
      <c r="W461" s="7" t="s">
        <v>43</v>
      </c>
      <c r="X461" s="7"/>
      <c r="Y461" s="7" t="s">
        <v>37</v>
      </c>
      <c r="Z461" s="7" t="s">
        <v>1659</v>
      </c>
      <c r="AA461" s="7"/>
      <c r="AB461" s="10" t="n">
        <v>549000</v>
      </c>
      <c r="AC461" s="10" t="n">
        <v>1</v>
      </c>
    </row>
    <row r="462" customFormat="false" ht="15.75" hidden="true" customHeight="true" outlineLevel="0" collapsed="false">
      <c r="A462" s="6"/>
      <c r="B462" s="7" t="s">
        <v>1063</v>
      </c>
      <c r="C462" s="7" t="s">
        <v>65</v>
      </c>
      <c r="D462" s="7" t="s">
        <v>82</v>
      </c>
      <c r="E462" s="7" t="s">
        <v>1660</v>
      </c>
      <c r="F462" s="8" t="s">
        <v>1661</v>
      </c>
      <c r="G462" s="9" t="n">
        <f aca="false">DATE(2000+VALUE(MID(F462,7,2)),VALUE(MID(F462,4,2)),VALUE(LEFT(F462,2)))</f>
        <v>45511</v>
      </c>
      <c r="H462" s="8" t="s">
        <v>1662</v>
      </c>
      <c r="I462" s="9" t="n">
        <f aca="false">DATE(2000+VALUE(MID(H462,7,2)),VALUE(MID(H462,4,2)),VALUE(LEFT(H462,2)))</f>
        <v>45512</v>
      </c>
      <c r="J462" s="9"/>
      <c r="K462" s="10" t="n">
        <v>602640</v>
      </c>
      <c r="L462" s="10" t="n">
        <v>0</v>
      </c>
      <c r="M462" s="10" t="n">
        <v>602640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602640</v>
      </c>
      <c r="S462" s="10" t="n">
        <v>0</v>
      </c>
      <c r="T462" s="7"/>
      <c r="U462" s="7"/>
      <c r="V462" s="7"/>
      <c r="W462" s="7" t="s">
        <v>49</v>
      </c>
      <c r="X462" s="7"/>
      <c r="Y462" s="7" t="s">
        <v>37</v>
      </c>
      <c r="Z462" s="7" t="s">
        <v>1529</v>
      </c>
      <c r="AA462" s="7" t="s">
        <v>1663</v>
      </c>
      <c r="AB462" s="10" t="n">
        <v>602640</v>
      </c>
      <c r="AC462" s="10" t="n">
        <v>1</v>
      </c>
    </row>
    <row r="463" customFormat="false" ht="15.75" hidden="true" customHeight="true" outlineLevel="0" collapsed="false">
      <c r="A463" s="6"/>
      <c r="B463" s="7" t="s">
        <v>1356</v>
      </c>
      <c r="C463" s="7" t="s">
        <v>60</v>
      </c>
      <c r="D463" s="7" t="s">
        <v>61</v>
      </c>
      <c r="E463" s="7" t="s">
        <v>1634</v>
      </c>
      <c r="F463" s="8" t="s">
        <v>1664</v>
      </c>
      <c r="G463" s="9" t="n">
        <f aca="false">DATE(2000+VALUE(MID(F463,7,2)),VALUE(MID(F463,4,2)),VALUE(LEFT(F463,2)))</f>
        <v>45510</v>
      </c>
      <c r="H463" s="8" t="s">
        <v>1665</v>
      </c>
      <c r="I463" s="9" t="n">
        <f aca="false">DATE(2000+VALUE(MID(H463,7,2)),VALUE(MID(H463,4,2)),VALUE(LEFT(H463,2)))</f>
        <v>45512</v>
      </c>
      <c r="J463" s="9"/>
      <c r="K463" s="10" t="n">
        <v>1000000</v>
      </c>
      <c r="L463" s="10" t="n">
        <v>0</v>
      </c>
      <c r="M463" s="10" t="n">
        <v>1000000</v>
      </c>
      <c r="N463" s="10" t="n">
        <v>0</v>
      </c>
      <c r="O463" s="10" t="n">
        <v>1000000</v>
      </c>
      <c r="P463" s="10" t="n">
        <v>0</v>
      </c>
      <c r="Q463" s="10" t="n">
        <v>0</v>
      </c>
      <c r="R463" s="10" t="n">
        <v>0</v>
      </c>
      <c r="S463" s="10" t="n">
        <v>0</v>
      </c>
      <c r="T463" s="7"/>
      <c r="U463" s="7"/>
      <c r="V463" s="7"/>
      <c r="W463" s="7" t="s">
        <v>43</v>
      </c>
      <c r="X463" s="7"/>
      <c r="Y463" s="7" t="s">
        <v>37</v>
      </c>
      <c r="Z463" s="7" t="s">
        <v>1666</v>
      </c>
      <c r="AA463" s="7"/>
      <c r="AB463" s="10" t="n">
        <v>500000</v>
      </c>
      <c r="AC463" s="10" t="n">
        <v>2</v>
      </c>
    </row>
    <row r="464" customFormat="false" ht="15.75" hidden="true" customHeight="true" outlineLevel="0" collapsed="false">
      <c r="A464" s="6"/>
      <c r="B464" s="7" t="s">
        <v>1388</v>
      </c>
      <c r="C464" s="7" t="s">
        <v>65</v>
      </c>
      <c r="D464" s="7" t="s">
        <v>66</v>
      </c>
      <c r="E464" s="7" t="s">
        <v>1667</v>
      </c>
      <c r="F464" s="8" t="s">
        <v>1668</v>
      </c>
      <c r="G464" s="9" t="n">
        <f aca="false">DATE(2000+VALUE(MID(F464,7,2)),VALUE(MID(F464,4,2)),VALUE(LEFT(F464,2)))</f>
        <v>45512</v>
      </c>
      <c r="H464" s="8" t="s">
        <v>1669</v>
      </c>
      <c r="I464" s="9" t="n">
        <f aca="false">DATE(2000+VALUE(MID(H464,7,2)),VALUE(MID(H464,4,2)),VALUE(LEFT(H464,2)))</f>
        <v>45513</v>
      </c>
      <c r="J464" s="9"/>
      <c r="K464" s="10" t="n">
        <v>550000</v>
      </c>
      <c r="L464" s="10" t="n">
        <v>0</v>
      </c>
      <c r="M464" s="10" t="n">
        <v>550000</v>
      </c>
      <c r="N464" s="10" t="n">
        <v>0</v>
      </c>
      <c r="O464" s="10" t="n">
        <v>0</v>
      </c>
      <c r="P464" s="10" t="n">
        <v>0</v>
      </c>
      <c r="Q464" s="10" t="n">
        <v>550000</v>
      </c>
      <c r="R464" s="10" t="n">
        <v>0</v>
      </c>
      <c r="S464" s="10" t="n">
        <v>0</v>
      </c>
      <c r="T464" s="7"/>
      <c r="U464" s="7"/>
      <c r="V464" s="7"/>
      <c r="W464" s="7" t="s">
        <v>43</v>
      </c>
      <c r="X464" s="7"/>
      <c r="Y464" s="7" t="s">
        <v>37</v>
      </c>
      <c r="Z464" s="7" t="s">
        <v>1670</v>
      </c>
      <c r="AA464" s="7"/>
      <c r="AB464" s="10" t="n">
        <v>550000</v>
      </c>
      <c r="AC464" s="10" t="n">
        <v>1</v>
      </c>
    </row>
    <row r="465" customFormat="false" ht="15.75" hidden="true" customHeight="true" outlineLevel="0" collapsed="false">
      <c r="A465" s="6"/>
      <c r="B465" s="7" t="s">
        <v>1332</v>
      </c>
      <c r="C465" s="7" t="s">
        <v>71</v>
      </c>
      <c r="D465" s="7" t="s">
        <v>72</v>
      </c>
      <c r="E465" s="7" t="s">
        <v>1671</v>
      </c>
      <c r="F465" s="8" t="s">
        <v>1672</v>
      </c>
      <c r="G465" s="9" t="n">
        <f aca="false">DATE(2000+VALUE(MID(F465,7,2)),VALUE(MID(F465,4,2)),VALUE(LEFT(F465,2)))</f>
        <v>45512</v>
      </c>
      <c r="H465" s="8" t="s">
        <v>1673</v>
      </c>
      <c r="I465" s="9" t="n">
        <f aca="false">DATE(2000+VALUE(MID(H465,7,2)),VALUE(MID(H465,4,2)),VALUE(LEFT(H465,2)))</f>
        <v>45514</v>
      </c>
      <c r="J465" s="9"/>
      <c r="K465" s="10" t="n">
        <v>1320000</v>
      </c>
      <c r="L465" s="10" t="n">
        <v>0</v>
      </c>
      <c r="M465" s="10" t="n">
        <v>1320000</v>
      </c>
      <c r="N465" s="10" t="n">
        <v>0</v>
      </c>
      <c r="O465" s="10" t="n">
        <v>1320000</v>
      </c>
      <c r="P465" s="10" t="n">
        <v>0</v>
      </c>
      <c r="Q465" s="10" t="n">
        <v>0</v>
      </c>
      <c r="R465" s="10" t="n">
        <v>0</v>
      </c>
      <c r="S465" s="10" t="n">
        <v>0</v>
      </c>
      <c r="T465" s="7"/>
      <c r="U465" s="7"/>
      <c r="V465" s="7"/>
      <c r="W465" s="7" t="s">
        <v>43</v>
      </c>
      <c r="X465" s="7"/>
      <c r="Y465" s="7" t="s">
        <v>37</v>
      </c>
      <c r="Z465" s="7" t="s">
        <v>1674</v>
      </c>
      <c r="AA465" s="7"/>
      <c r="AB465" s="10" t="n">
        <v>660000</v>
      </c>
      <c r="AC465" s="10" t="n">
        <v>2</v>
      </c>
    </row>
    <row r="466" customFormat="false" ht="15.75" hidden="true" customHeight="true" outlineLevel="0" collapsed="false">
      <c r="A466" s="6"/>
      <c r="B466" s="7" t="s">
        <v>1419</v>
      </c>
      <c r="C466" s="7" t="s">
        <v>31</v>
      </c>
      <c r="D466" s="7" t="s">
        <v>32</v>
      </c>
      <c r="E466" s="7" t="s">
        <v>1675</v>
      </c>
      <c r="F466" s="8" t="s">
        <v>1676</v>
      </c>
      <c r="G466" s="9" t="n">
        <f aca="false">DATE(2000+VALUE(MID(F466,7,2)),VALUE(MID(F466,4,2)),VALUE(LEFT(F466,2)))</f>
        <v>45514</v>
      </c>
      <c r="H466" s="8" t="s">
        <v>1677</v>
      </c>
      <c r="I466" s="9" t="n">
        <f aca="false">DATE(2000+VALUE(MID(H466,7,2)),VALUE(MID(H466,4,2)),VALUE(LEFT(H466,2)))</f>
        <v>45515</v>
      </c>
      <c r="J466" s="9"/>
      <c r="K466" s="10" t="n">
        <v>649000</v>
      </c>
      <c r="L466" s="10" t="n">
        <v>0</v>
      </c>
      <c r="M466" s="10" t="n">
        <v>649000</v>
      </c>
      <c r="N466" s="10" t="n">
        <v>0</v>
      </c>
      <c r="O466" s="10" t="n">
        <v>0</v>
      </c>
      <c r="P466" s="10" t="n">
        <v>0</v>
      </c>
      <c r="Q466" s="10" t="n">
        <v>649000</v>
      </c>
      <c r="R466" s="10" t="n">
        <v>0</v>
      </c>
      <c r="S466" s="10" t="n">
        <v>0</v>
      </c>
      <c r="T466" s="7"/>
      <c r="U466" s="7"/>
      <c r="V466" s="7"/>
      <c r="W466" s="7" t="s">
        <v>43</v>
      </c>
      <c r="X466" s="7"/>
      <c r="Y466" s="7" t="s">
        <v>37</v>
      </c>
      <c r="Z466" s="7" t="s">
        <v>1678</v>
      </c>
      <c r="AA466" s="7"/>
      <c r="AB466" s="10" t="n">
        <v>649000</v>
      </c>
      <c r="AC466" s="10" t="n">
        <v>1</v>
      </c>
    </row>
    <row r="467" customFormat="false" ht="15.75" hidden="true" customHeight="true" outlineLevel="0" collapsed="false">
      <c r="A467" s="6"/>
      <c r="B467" s="7" t="s">
        <v>1416</v>
      </c>
      <c r="C467" s="7" t="s">
        <v>65</v>
      </c>
      <c r="D467" s="7" t="s">
        <v>156</v>
      </c>
      <c r="E467" s="7" t="s">
        <v>1679</v>
      </c>
      <c r="F467" s="8" t="s">
        <v>1680</v>
      </c>
      <c r="G467" s="9" t="n">
        <f aca="false">DATE(2000+VALUE(MID(F467,7,2)),VALUE(MID(F467,4,2)),VALUE(LEFT(F467,2)))</f>
        <v>45513</v>
      </c>
      <c r="H467" s="8" t="s">
        <v>1681</v>
      </c>
      <c r="I467" s="9" t="n">
        <f aca="false">DATE(2000+VALUE(MID(H467,7,2)),VALUE(MID(H467,4,2)),VALUE(LEFT(H467,2)))</f>
        <v>45515</v>
      </c>
      <c r="J467" s="9"/>
      <c r="K467" s="10" t="n">
        <v>1098000</v>
      </c>
      <c r="L467" s="10" t="n">
        <v>0</v>
      </c>
      <c r="M467" s="10" t="n">
        <v>1098000</v>
      </c>
      <c r="N467" s="10" t="n">
        <v>0</v>
      </c>
      <c r="O467" s="10" t="n">
        <v>1098000</v>
      </c>
      <c r="P467" s="10" t="n">
        <v>0</v>
      </c>
      <c r="Q467" s="10" t="n">
        <v>0</v>
      </c>
      <c r="R467" s="10" t="n">
        <v>0</v>
      </c>
      <c r="S467" s="10" t="n">
        <v>0</v>
      </c>
      <c r="T467" s="7"/>
      <c r="U467" s="7"/>
      <c r="V467" s="7"/>
      <c r="W467" s="7" t="s">
        <v>43</v>
      </c>
      <c r="X467" s="7"/>
      <c r="Y467" s="7" t="s">
        <v>37</v>
      </c>
      <c r="Z467" s="7" t="s">
        <v>1682</v>
      </c>
      <c r="AA467" s="7"/>
      <c r="AB467" s="10" t="n">
        <v>549000</v>
      </c>
      <c r="AC467" s="10" t="n">
        <v>2</v>
      </c>
    </row>
    <row r="468" customFormat="false" ht="15.75" hidden="true" customHeight="true" outlineLevel="0" collapsed="false">
      <c r="A468" s="6"/>
      <c r="B468" s="7" t="s">
        <v>1374</v>
      </c>
      <c r="C468" s="7" t="s">
        <v>65</v>
      </c>
      <c r="D468" s="7" t="s">
        <v>96</v>
      </c>
      <c r="E468" s="7" t="s">
        <v>1683</v>
      </c>
      <c r="F468" s="8" t="s">
        <v>1684</v>
      </c>
      <c r="G468" s="9" t="n">
        <f aca="false">DATE(2000+VALUE(MID(F468,7,2)),VALUE(MID(F468,4,2)),VALUE(LEFT(F468,2)))</f>
        <v>45513</v>
      </c>
      <c r="H468" s="8" t="s">
        <v>1685</v>
      </c>
      <c r="I468" s="9" t="n">
        <f aca="false">DATE(2000+VALUE(MID(H468,7,2)),VALUE(MID(H468,4,2)),VALUE(LEFT(H468,2)))</f>
        <v>45515</v>
      </c>
      <c r="J468" s="9"/>
      <c r="K468" s="10" t="n">
        <v>1098000</v>
      </c>
      <c r="L468" s="10" t="n">
        <v>0</v>
      </c>
      <c r="M468" s="10" t="n">
        <v>1098000</v>
      </c>
      <c r="N468" s="10" t="n">
        <v>0</v>
      </c>
      <c r="O468" s="10" t="n">
        <v>1098000</v>
      </c>
      <c r="P468" s="10" t="n">
        <v>0</v>
      </c>
      <c r="Q468" s="10" t="n">
        <v>0</v>
      </c>
      <c r="R468" s="10" t="n">
        <v>0</v>
      </c>
      <c r="S468" s="10" t="n">
        <v>0</v>
      </c>
      <c r="T468" s="7"/>
      <c r="U468" s="7"/>
      <c r="V468" s="7"/>
      <c r="W468" s="7" t="s">
        <v>43</v>
      </c>
      <c r="X468" s="7"/>
      <c r="Y468" s="7" t="s">
        <v>37</v>
      </c>
      <c r="Z468" s="7" t="s">
        <v>1686</v>
      </c>
      <c r="AA468" s="7"/>
      <c r="AB468" s="10" t="n">
        <v>549000</v>
      </c>
      <c r="AC468" s="10" t="n">
        <v>2</v>
      </c>
    </row>
    <row r="469" customFormat="false" ht="15.75" hidden="true" customHeight="true" outlineLevel="0" collapsed="false">
      <c r="A469" s="6"/>
      <c r="B469" s="7" t="s">
        <v>1422</v>
      </c>
      <c r="C469" s="7" t="s">
        <v>65</v>
      </c>
      <c r="D469" s="7" t="s">
        <v>76</v>
      </c>
      <c r="E469" s="7" t="s">
        <v>1687</v>
      </c>
      <c r="F469" s="8" t="s">
        <v>1688</v>
      </c>
      <c r="G469" s="9" t="n">
        <f aca="false">DATE(2000+VALUE(MID(F469,7,2)),VALUE(MID(F469,4,2)),VALUE(LEFT(F469,2)))</f>
        <v>45514</v>
      </c>
      <c r="H469" s="8" t="s">
        <v>1689</v>
      </c>
      <c r="I469" s="9" t="n">
        <f aca="false">DATE(2000+VALUE(MID(H469,7,2)),VALUE(MID(H469,4,2)),VALUE(LEFT(H469,2)))</f>
        <v>45515</v>
      </c>
      <c r="J469" s="9"/>
      <c r="K469" s="10" t="n">
        <v>525528</v>
      </c>
      <c r="L469" s="10" t="n">
        <v>0</v>
      </c>
      <c r="M469" s="10" t="n">
        <v>525528</v>
      </c>
      <c r="N469" s="10" t="n">
        <v>0</v>
      </c>
      <c r="O469" s="10" t="n">
        <v>0</v>
      </c>
      <c r="P469" s="10" t="n">
        <v>0</v>
      </c>
      <c r="Q469" s="10" t="n">
        <v>0</v>
      </c>
      <c r="R469" s="10" t="n">
        <v>525528</v>
      </c>
      <c r="S469" s="10" t="n">
        <v>0</v>
      </c>
      <c r="T469" s="7"/>
      <c r="U469" s="7"/>
      <c r="V469" s="7"/>
      <c r="W469" s="7" t="s">
        <v>49</v>
      </c>
      <c r="X469" s="7"/>
      <c r="Y469" s="7" t="s">
        <v>37</v>
      </c>
      <c r="Z469" s="7" t="s">
        <v>1690</v>
      </c>
      <c r="AA469" s="7" t="s">
        <v>1691</v>
      </c>
      <c r="AB469" s="10" t="n">
        <v>525528</v>
      </c>
      <c r="AC469" s="10" t="n">
        <v>1</v>
      </c>
    </row>
    <row r="470" customFormat="false" ht="15.75" hidden="true" customHeight="true" outlineLevel="0" collapsed="false">
      <c r="A470" s="6"/>
      <c r="B470" s="7" t="s">
        <v>1604</v>
      </c>
      <c r="C470" s="7" t="s">
        <v>60</v>
      </c>
      <c r="D470" s="7" t="s">
        <v>116</v>
      </c>
      <c r="E470" s="7" t="s">
        <v>1692</v>
      </c>
      <c r="F470" s="8" t="s">
        <v>1693</v>
      </c>
      <c r="G470" s="9" t="n">
        <f aca="false">DATE(2000+VALUE(MID(F470,7,2)),VALUE(MID(F470,4,2)),VALUE(LEFT(F470,2)))</f>
        <v>45513</v>
      </c>
      <c r="H470" s="8" t="s">
        <v>1694</v>
      </c>
      <c r="I470" s="9" t="n">
        <f aca="false">DATE(2000+VALUE(MID(H470,7,2)),VALUE(MID(H470,4,2)),VALUE(LEFT(H470,2)))</f>
        <v>45515</v>
      </c>
      <c r="J470" s="9"/>
      <c r="K470" s="10" t="n">
        <v>1200000</v>
      </c>
      <c r="L470" s="10" t="n">
        <v>0</v>
      </c>
      <c r="M470" s="10" t="n">
        <v>1200000</v>
      </c>
      <c r="N470" s="10" t="n">
        <v>0</v>
      </c>
      <c r="O470" s="10" t="n">
        <v>0</v>
      </c>
      <c r="P470" s="10" t="n">
        <v>0</v>
      </c>
      <c r="Q470" s="10" t="n">
        <v>1200000</v>
      </c>
      <c r="R470" s="10" t="n">
        <v>0</v>
      </c>
      <c r="S470" s="10" t="n">
        <v>0</v>
      </c>
      <c r="T470" s="7"/>
      <c r="U470" s="7"/>
      <c r="V470" s="7"/>
      <c r="W470" s="7" t="s">
        <v>43</v>
      </c>
      <c r="X470" s="7"/>
      <c r="Y470" s="7" t="s">
        <v>37</v>
      </c>
      <c r="Z470" s="7" t="s">
        <v>1695</v>
      </c>
      <c r="AA470" s="7"/>
      <c r="AB470" s="10" t="n">
        <v>600000</v>
      </c>
      <c r="AC470" s="10" t="n">
        <v>2</v>
      </c>
    </row>
    <row r="471" customFormat="false" ht="15.75" hidden="true" customHeight="true" outlineLevel="0" collapsed="false">
      <c r="A471" s="6"/>
      <c r="B471" s="7" t="s">
        <v>1417</v>
      </c>
      <c r="C471" s="7" t="s">
        <v>31</v>
      </c>
      <c r="D471" s="7" t="s">
        <v>105</v>
      </c>
      <c r="E471" s="7" t="s">
        <v>1696</v>
      </c>
      <c r="F471" s="8" t="s">
        <v>1697</v>
      </c>
      <c r="G471" s="9" t="n">
        <f aca="false">DATE(2000+VALUE(MID(F471,7,2)),VALUE(MID(F471,4,2)),VALUE(LEFT(F471,2)))</f>
        <v>45513</v>
      </c>
      <c r="H471" s="8" t="s">
        <v>1694</v>
      </c>
      <c r="I471" s="9" t="n">
        <f aca="false">DATE(2000+VALUE(MID(H471,7,2)),VALUE(MID(H471,4,2)),VALUE(LEFT(H471,2)))</f>
        <v>45515</v>
      </c>
      <c r="J471" s="9"/>
      <c r="K471" s="10" t="n">
        <v>2084000</v>
      </c>
      <c r="L471" s="10" t="n">
        <v>0</v>
      </c>
      <c r="M471" s="10" t="n">
        <v>2084000</v>
      </c>
      <c r="N471" s="10" t="n">
        <v>0</v>
      </c>
      <c r="O471" s="10" t="n">
        <v>0</v>
      </c>
      <c r="P471" s="10" t="n">
        <v>0</v>
      </c>
      <c r="Q471" s="10" t="n">
        <v>2084000</v>
      </c>
      <c r="R471" s="10" t="n">
        <v>0</v>
      </c>
      <c r="S471" s="10" t="n">
        <v>0</v>
      </c>
      <c r="T471" s="7"/>
      <c r="U471" s="7"/>
      <c r="V471" s="7"/>
      <c r="W471" s="7" t="s">
        <v>36</v>
      </c>
      <c r="X471" s="7"/>
      <c r="Y471" s="7" t="s">
        <v>37</v>
      </c>
      <c r="Z471" s="7" t="s">
        <v>1698</v>
      </c>
      <c r="AA471" s="7"/>
      <c r="AB471" s="10" t="n">
        <v>1042000</v>
      </c>
      <c r="AC471" s="10" t="n">
        <v>2</v>
      </c>
    </row>
    <row r="472" customFormat="false" ht="15.75" hidden="true" customHeight="true" outlineLevel="0" collapsed="false">
      <c r="A472" s="6"/>
      <c r="B472" s="7" t="s">
        <v>1418</v>
      </c>
      <c r="C472" s="7" t="s">
        <v>60</v>
      </c>
      <c r="D472" s="7" t="s">
        <v>61</v>
      </c>
      <c r="E472" s="7" t="s">
        <v>1699</v>
      </c>
      <c r="F472" s="8" t="s">
        <v>1700</v>
      </c>
      <c r="G472" s="9" t="n">
        <f aca="false">DATE(2000+VALUE(MID(F472,7,2)),VALUE(MID(F472,4,2)),VALUE(LEFT(F472,2)))</f>
        <v>45514</v>
      </c>
      <c r="H472" s="8" t="s">
        <v>1694</v>
      </c>
      <c r="I472" s="9" t="n">
        <f aca="false">DATE(2000+VALUE(MID(H472,7,2)),VALUE(MID(H472,4,2)),VALUE(LEFT(H472,2)))</f>
        <v>45515</v>
      </c>
      <c r="J472" s="9"/>
      <c r="K472" s="10" t="n">
        <v>600000</v>
      </c>
      <c r="L472" s="10" t="n">
        <v>0</v>
      </c>
      <c r="M472" s="10" t="n">
        <v>600000</v>
      </c>
      <c r="N472" s="10" t="n">
        <v>0</v>
      </c>
      <c r="O472" s="10" t="n">
        <v>600000</v>
      </c>
      <c r="P472" s="10" t="n">
        <v>0</v>
      </c>
      <c r="Q472" s="10" t="n">
        <v>0</v>
      </c>
      <c r="R472" s="10" t="n">
        <v>0</v>
      </c>
      <c r="S472" s="10" t="n">
        <v>0</v>
      </c>
      <c r="T472" s="7"/>
      <c r="U472" s="7"/>
      <c r="V472" s="7"/>
      <c r="W472" s="7" t="s">
        <v>43</v>
      </c>
      <c r="X472" s="7"/>
      <c r="Y472" s="7" t="s">
        <v>37</v>
      </c>
      <c r="Z472" s="7" t="s">
        <v>1701</v>
      </c>
      <c r="AA472" s="7"/>
      <c r="AB472" s="10" t="n">
        <v>600000</v>
      </c>
      <c r="AC472" s="10" t="n">
        <v>1</v>
      </c>
    </row>
    <row r="473" customFormat="false" ht="15.75" hidden="true" customHeight="true" outlineLevel="0" collapsed="false">
      <c r="A473" s="6"/>
      <c r="B473" s="7" t="s">
        <v>1366</v>
      </c>
      <c r="C473" s="7" t="s">
        <v>65</v>
      </c>
      <c r="D473" s="7" t="s">
        <v>76</v>
      </c>
      <c r="E473" s="7" t="s">
        <v>1702</v>
      </c>
      <c r="F473" s="8" t="s">
        <v>1703</v>
      </c>
      <c r="G473" s="9" t="n">
        <f aca="false">DATE(2000+VALUE(MID(F473,7,2)),VALUE(MID(F473,4,2)),VALUE(LEFT(F473,2)))</f>
        <v>45515</v>
      </c>
      <c r="H473" s="8" t="s">
        <v>1704</v>
      </c>
      <c r="I473" s="9" t="n">
        <f aca="false">DATE(2000+VALUE(MID(H473,7,2)),VALUE(MID(H473,4,2)),VALUE(LEFT(H473,2)))</f>
        <v>45516</v>
      </c>
      <c r="J473" s="9"/>
      <c r="K473" s="10" t="n">
        <v>493920</v>
      </c>
      <c r="L473" s="10" t="n">
        <v>0</v>
      </c>
      <c r="M473" s="10" t="n">
        <v>493920</v>
      </c>
      <c r="N473" s="10" t="n">
        <v>0</v>
      </c>
      <c r="O473" s="10" t="n">
        <v>0</v>
      </c>
      <c r="P473" s="10" t="n">
        <v>0</v>
      </c>
      <c r="Q473" s="10" t="n">
        <v>0</v>
      </c>
      <c r="R473" s="10" t="n">
        <v>493920</v>
      </c>
      <c r="S473" s="10" t="n">
        <v>0</v>
      </c>
      <c r="T473" s="7"/>
      <c r="U473" s="7"/>
      <c r="V473" s="7"/>
      <c r="W473" s="7" t="s">
        <v>49</v>
      </c>
      <c r="X473" s="7"/>
      <c r="Y473" s="7" t="s">
        <v>37</v>
      </c>
      <c r="Z473" s="7" t="s">
        <v>1705</v>
      </c>
      <c r="AA473" s="7" t="s">
        <v>1706</v>
      </c>
      <c r="AB473" s="10" t="n">
        <v>493920</v>
      </c>
      <c r="AC473" s="10" t="n">
        <v>1</v>
      </c>
    </row>
    <row r="474" customFormat="false" ht="15.75" hidden="true" customHeight="true" outlineLevel="0" collapsed="false">
      <c r="A474" s="6"/>
      <c r="B474" s="7" t="s">
        <v>1430</v>
      </c>
      <c r="C474" s="7" t="s">
        <v>65</v>
      </c>
      <c r="D474" s="7" t="s">
        <v>66</v>
      </c>
      <c r="E474" s="7" t="s">
        <v>1707</v>
      </c>
      <c r="F474" s="8" t="s">
        <v>1708</v>
      </c>
      <c r="G474" s="9" t="n">
        <f aca="false">DATE(2000+VALUE(MID(F474,7,2)),VALUE(MID(F474,4,2)),VALUE(LEFT(F474,2)))</f>
        <v>45515</v>
      </c>
      <c r="H474" s="8" t="s">
        <v>1709</v>
      </c>
      <c r="I474" s="9" t="n">
        <f aca="false">DATE(2000+VALUE(MID(H474,7,2)),VALUE(MID(H474,4,2)),VALUE(LEFT(H474,2)))</f>
        <v>45516</v>
      </c>
      <c r="J474" s="9"/>
      <c r="K474" s="10" t="n">
        <v>350000</v>
      </c>
      <c r="L474" s="10" t="n">
        <v>0</v>
      </c>
      <c r="M474" s="10" t="n">
        <v>350000</v>
      </c>
      <c r="N474" s="10" t="n">
        <v>0</v>
      </c>
      <c r="O474" s="10" t="n">
        <v>350000</v>
      </c>
      <c r="P474" s="10" t="n">
        <v>0</v>
      </c>
      <c r="Q474" s="10" t="n">
        <v>0</v>
      </c>
      <c r="R474" s="10" t="n">
        <v>0</v>
      </c>
      <c r="S474" s="10" t="n">
        <v>0</v>
      </c>
      <c r="T474" s="7"/>
      <c r="U474" s="7"/>
      <c r="V474" s="7"/>
      <c r="W474" s="7" t="s">
        <v>43</v>
      </c>
      <c r="X474" s="7"/>
      <c r="Y474" s="7" t="s">
        <v>37</v>
      </c>
      <c r="Z474" s="7" t="s">
        <v>1710</v>
      </c>
      <c r="AA474" s="7"/>
      <c r="AB474" s="10" t="n">
        <v>350000</v>
      </c>
      <c r="AC474" s="10" t="n">
        <v>1</v>
      </c>
    </row>
    <row r="475" customFormat="false" ht="15.75" hidden="true" customHeight="true" outlineLevel="0" collapsed="false">
      <c r="A475" s="6"/>
      <c r="B475" s="7" t="s">
        <v>1423</v>
      </c>
      <c r="C475" s="7" t="s">
        <v>31</v>
      </c>
      <c r="D475" s="7" t="s">
        <v>105</v>
      </c>
      <c r="E475" s="7" t="s">
        <v>1696</v>
      </c>
      <c r="F475" s="8" t="s">
        <v>1711</v>
      </c>
      <c r="G475" s="9" t="n">
        <f aca="false">DATE(2000+VALUE(MID(F475,7,2)),VALUE(MID(F475,4,2)),VALUE(LEFT(F475,2)))</f>
        <v>45515</v>
      </c>
      <c r="H475" s="8" t="s">
        <v>1709</v>
      </c>
      <c r="I475" s="9" t="n">
        <f aca="false">DATE(2000+VALUE(MID(H475,7,2)),VALUE(MID(H475,4,2)),VALUE(LEFT(H475,2)))</f>
        <v>45516</v>
      </c>
      <c r="J475" s="9"/>
      <c r="K475" s="10" t="n">
        <v>500000</v>
      </c>
      <c r="L475" s="10" t="n">
        <v>0</v>
      </c>
      <c r="M475" s="10" t="n">
        <v>500000</v>
      </c>
      <c r="N475" s="10" t="n">
        <v>0</v>
      </c>
      <c r="O475" s="10" t="n">
        <v>0</v>
      </c>
      <c r="P475" s="10" t="n">
        <v>0</v>
      </c>
      <c r="Q475" s="10" t="n">
        <v>500000</v>
      </c>
      <c r="R475" s="10" t="n">
        <v>0</v>
      </c>
      <c r="S475" s="10" t="n">
        <v>0</v>
      </c>
      <c r="T475" s="7"/>
      <c r="U475" s="7"/>
      <c r="V475" s="7"/>
      <c r="W475" s="7" t="s">
        <v>36</v>
      </c>
      <c r="X475" s="7"/>
      <c r="Y475" s="7" t="s">
        <v>37</v>
      </c>
      <c r="Z475" s="7" t="s">
        <v>1712</v>
      </c>
      <c r="AA475" s="7"/>
      <c r="AB475" s="10" t="n">
        <v>500000</v>
      </c>
      <c r="AC475" s="10" t="n">
        <v>1</v>
      </c>
    </row>
    <row r="476" customFormat="false" ht="15.75" hidden="true" customHeight="true" outlineLevel="0" collapsed="false">
      <c r="A476" s="6"/>
      <c r="B476" s="7" t="s">
        <v>1406</v>
      </c>
      <c r="C476" s="7" t="s">
        <v>65</v>
      </c>
      <c r="D476" s="7" t="s">
        <v>156</v>
      </c>
      <c r="E476" s="7" t="s">
        <v>1713</v>
      </c>
      <c r="F476" s="8" t="s">
        <v>1714</v>
      </c>
      <c r="G476" s="9" t="n">
        <f aca="false">DATE(2000+VALUE(MID(F476,7,2)),VALUE(MID(F476,4,2)),VALUE(LEFT(F476,2)))</f>
        <v>45515</v>
      </c>
      <c r="H476" s="8" t="s">
        <v>1715</v>
      </c>
      <c r="I476" s="9" t="n">
        <f aca="false">DATE(2000+VALUE(MID(H476,7,2)),VALUE(MID(H476,4,2)),VALUE(LEFT(H476,2)))</f>
        <v>45516</v>
      </c>
      <c r="J476" s="9"/>
      <c r="K476" s="10" t="n">
        <v>549000</v>
      </c>
      <c r="L476" s="10" t="n">
        <v>0</v>
      </c>
      <c r="M476" s="10" t="n">
        <v>549000</v>
      </c>
      <c r="N476" s="10" t="n">
        <v>0</v>
      </c>
      <c r="O476" s="10" t="n">
        <v>549000</v>
      </c>
      <c r="P476" s="10" t="n">
        <v>0</v>
      </c>
      <c r="Q476" s="10" t="n">
        <v>0</v>
      </c>
      <c r="R476" s="10" t="n">
        <v>0</v>
      </c>
      <c r="S476" s="10" t="n">
        <v>0</v>
      </c>
      <c r="T476" s="7"/>
      <c r="U476" s="7"/>
      <c r="V476" s="7"/>
      <c r="W476" s="7" t="s">
        <v>43</v>
      </c>
      <c r="X476" s="7"/>
      <c r="Y476" s="7" t="s">
        <v>37</v>
      </c>
      <c r="Z476" s="7" t="s">
        <v>1716</v>
      </c>
      <c r="AA476" s="7"/>
      <c r="AB476" s="10" t="n">
        <v>549000</v>
      </c>
      <c r="AC476" s="10" t="n">
        <v>1</v>
      </c>
    </row>
    <row r="477" customFormat="false" ht="15.75" hidden="true" customHeight="true" outlineLevel="0" collapsed="false">
      <c r="A477" s="6"/>
      <c r="B477" s="7" t="s">
        <v>1306</v>
      </c>
      <c r="C477" s="7" t="s">
        <v>65</v>
      </c>
      <c r="D477" s="7" t="s">
        <v>87</v>
      </c>
      <c r="E477" s="7" t="s">
        <v>1717</v>
      </c>
      <c r="F477" s="8" t="s">
        <v>1693</v>
      </c>
      <c r="G477" s="9" t="n">
        <f aca="false">DATE(2000+VALUE(MID(F477,7,2)),VALUE(MID(F477,4,2)),VALUE(LEFT(F477,2)))</f>
        <v>45513</v>
      </c>
      <c r="H477" s="8" t="s">
        <v>1718</v>
      </c>
      <c r="I477" s="9" t="n">
        <f aca="false">DATE(2000+VALUE(MID(H477,7,2)),VALUE(MID(H477,4,2)),VALUE(LEFT(H477,2)))</f>
        <v>45516</v>
      </c>
      <c r="J477" s="9"/>
      <c r="K477" s="10" t="n">
        <v>1847000</v>
      </c>
      <c r="L477" s="10" t="n">
        <v>0</v>
      </c>
      <c r="M477" s="10" t="n">
        <v>1847000</v>
      </c>
      <c r="N477" s="10" t="n">
        <v>0</v>
      </c>
      <c r="O477" s="10" t="n">
        <v>0</v>
      </c>
      <c r="P477" s="10" t="n">
        <v>0</v>
      </c>
      <c r="Q477" s="10" t="n">
        <v>1847000</v>
      </c>
      <c r="R477" s="10" t="n">
        <v>0</v>
      </c>
      <c r="S477" s="10" t="n">
        <v>0</v>
      </c>
      <c r="T477" s="7"/>
      <c r="U477" s="7"/>
      <c r="V477" s="7"/>
      <c r="W477" s="7" t="s">
        <v>43</v>
      </c>
      <c r="X477" s="7"/>
      <c r="Y477" s="7" t="s">
        <v>37</v>
      </c>
      <c r="Z477" s="7" t="s">
        <v>1719</v>
      </c>
      <c r="AA477" s="7"/>
      <c r="AB477" s="10" t="n">
        <v>615666.6666</v>
      </c>
      <c r="AC477" s="10" t="n">
        <v>3</v>
      </c>
    </row>
    <row r="478" customFormat="false" ht="15.75" hidden="true" customHeight="true" outlineLevel="0" collapsed="false">
      <c r="A478" s="6"/>
      <c r="B478" s="7" t="s">
        <v>1426</v>
      </c>
      <c r="C478" s="7" t="s">
        <v>65</v>
      </c>
      <c r="D478" s="7" t="s">
        <v>66</v>
      </c>
      <c r="E478" s="7" t="s">
        <v>1720</v>
      </c>
      <c r="F478" s="8" t="s">
        <v>1721</v>
      </c>
      <c r="G478" s="9" t="n">
        <f aca="false">DATE(2000+VALUE(MID(F478,7,2)),VALUE(MID(F478,4,2)),VALUE(LEFT(F478,2)))</f>
        <v>45516</v>
      </c>
      <c r="H478" s="8" t="s">
        <v>1722</v>
      </c>
      <c r="I478" s="9" t="n">
        <f aca="false">DATE(2000+VALUE(MID(H478,7,2)),VALUE(MID(H478,4,2)),VALUE(LEFT(H478,2)))</f>
        <v>45517</v>
      </c>
      <c r="J478" s="9"/>
      <c r="K478" s="10" t="n">
        <v>444528</v>
      </c>
      <c r="L478" s="10" t="n">
        <v>0</v>
      </c>
      <c r="M478" s="10" t="n">
        <v>444528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444528</v>
      </c>
      <c r="S478" s="10" t="n">
        <v>0</v>
      </c>
      <c r="T478" s="7"/>
      <c r="U478" s="7"/>
      <c r="V478" s="7"/>
      <c r="W478" s="7" t="s">
        <v>49</v>
      </c>
      <c r="X478" s="7"/>
      <c r="Y478" s="7" t="s">
        <v>37</v>
      </c>
      <c r="Z478" s="7" t="s">
        <v>1723</v>
      </c>
      <c r="AA478" s="7" t="s">
        <v>1724</v>
      </c>
      <c r="AB478" s="10" t="n">
        <v>444528</v>
      </c>
      <c r="AC478" s="10" t="n">
        <v>1</v>
      </c>
    </row>
    <row r="479" customFormat="false" ht="15.75" hidden="true" customHeight="true" outlineLevel="0" collapsed="false">
      <c r="A479" s="6"/>
      <c r="B479" s="7" t="s">
        <v>1725</v>
      </c>
      <c r="C479" s="7" t="s">
        <v>65</v>
      </c>
      <c r="D479" s="7" t="s">
        <v>76</v>
      </c>
      <c r="E479" s="7" t="s">
        <v>1726</v>
      </c>
      <c r="F479" s="8" t="s">
        <v>1727</v>
      </c>
      <c r="G479" s="9" t="n">
        <f aca="false">DATE(2000+VALUE(MID(F479,7,2)),VALUE(MID(F479,4,2)),VALUE(LEFT(F479,2)))</f>
        <v>45516</v>
      </c>
      <c r="H479" s="8" t="s">
        <v>1728</v>
      </c>
      <c r="I479" s="9" t="n">
        <f aca="false">DATE(2000+VALUE(MID(H479,7,2)),VALUE(MID(H479,4,2)),VALUE(LEFT(H479,2)))</f>
        <v>45517</v>
      </c>
      <c r="J479" s="9"/>
      <c r="K479" s="10" t="n">
        <v>549000</v>
      </c>
      <c r="L479" s="10" t="n">
        <v>0</v>
      </c>
      <c r="M479" s="10" t="n">
        <v>549000</v>
      </c>
      <c r="N479" s="10" t="n">
        <v>0</v>
      </c>
      <c r="O479" s="10" t="n">
        <v>0</v>
      </c>
      <c r="P479" s="10" t="n">
        <v>0</v>
      </c>
      <c r="Q479" s="10" t="n">
        <v>549000</v>
      </c>
      <c r="R479" s="10" t="n">
        <v>0</v>
      </c>
      <c r="S479" s="10" t="n">
        <v>0</v>
      </c>
      <c r="T479" s="7"/>
      <c r="U479" s="7"/>
      <c r="V479" s="7"/>
      <c r="W479" s="7" t="s">
        <v>43</v>
      </c>
      <c r="X479" s="7"/>
      <c r="Y479" s="7" t="s">
        <v>37</v>
      </c>
      <c r="Z479" s="7" t="s">
        <v>1729</v>
      </c>
      <c r="AA479" s="7" t="s">
        <v>1730</v>
      </c>
      <c r="AB479" s="10" t="n">
        <v>549000</v>
      </c>
      <c r="AC479" s="10" t="n">
        <v>1</v>
      </c>
    </row>
    <row r="480" customFormat="false" ht="15.75" hidden="true" customHeight="true" outlineLevel="0" collapsed="false">
      <c r="A480" s="6"/>
      <c r="B480" s="7" t="s">
        <v>800</v>
      </c>
      <c r="C480" s="7" t="s">
        <v>60</v>
      </c>
      <c r="D480" s="7" t="s">
        <v>173</v>
      </c>
      <c r="E480" s="7" t="s">
        <v>1731</v>
      </c>
      <c r="F480" s="8" t="s">
        <v>1732</v>
      </c>
      <c r="G480" s="9" t="n">
        <f aca="false">DATE(2000+VALUE(MID(F480,7,2)),VALUE(MID(F480,4,2)),VALUE(LEFT(F480,2)))</f>
        <v>45516</v>
      </c>
      <c r="H480" s="8" t="s">
        <v>1733</v>
      </c>
      <c r="I480" s="9" t="n">
        <f aca="false">DATE(2000+VALUE(MID(H480,7,2)),VALUE(MID(H480,4,2)),VALUE(LEFT(H480,2)))</f>
        <v>45518</v>
      </c>
      <c r="J480" s="9"/>
      <c r="K480" s="10" t="n">
        <v>1051200</v>
      </c>
      <c r="L480" s="10" t="n">
        <v>0</v>
      </c>
      <c r="M480" s="10" t="n">
        <v>1051200</v>
      </c>
      <c r="N480" s="10" t="n">
        <v>0</v>
      </c>
      <c r="O480" s="10" t="n">
        <v>0</v>
      </c>
      <c r="P480" s="10" t="n">
        <v>0</v>
      </c>
      <c r="Q480" s="10" t="n">
        <v>0</v>
      </c>
      <c r="R480" s="10" t="n">
        <v>1051200</v>
      </c>
      <c r="S480" s="10" t="n">
        <v>0</v>
      </c>
      <c r="T480" s="7"/>
      <c r="U480" s="7"/>
      <c r="V480" s="7"/>
      <c r="W480" s="7" t="s">
        <v>49</v>
      </c>
      <c r="X480" s="7"/>
      <c r="Y480" s="7" t="s">
        <v>37</v>
      </c>
      <c r="Z480" s="7" t="s">
        <v>1104</v>
      </c>
      <c r="AA480" s="7" t="s">
        <v>1734</v>
      </c>
      <c r="AB480" s="10" t="n">
        <v>525600</v>
      </c>
      <c r="AC480" s="10" t="n">
        <v>2</v>
      </c>
    </row>
    <row r="481" customFormat="false" ht="15.75" hidden="true" customHeight="true" outlineLevel="0" collapsed="false">
      <c r="A481" s="6"/>
      <c r="B481" s="7" t="s">
        <v>1436</v>
      </c>
      <c r="C481" s="7" t="s">
        <v>31</v>
      </c>
      <c r="D481" s="7" t="s">
        <v>39</v>
      </c>
      <c r="E481" s="7" t="s">
        <v>1735</v>
      </c>
      <c r="F481" s="8" t="s">
        <v>1736</v>
      </c>
      <c r="G481" s="9" t="n">
        <f aca="false">DATE(2000+VALUE(MID(F481,7,2)),VALUE(MID(F481,4,2)),VALUE(LEFT(F481,2)))</f>
        <v>45518</v>
      </c>
      <c r="H481" s="8" t="s">
        <v>1737</v>
      </c>
      <c r="I481" s="9" t="n">
        <f aca="false">DATE(2000+VALUE(MID(H481,7,2)),VALUE(MID(H481,4,2)),VALUE(LEFT(H481,2)))</f>
        <v>45519</v>
      </c>
      <c r="J481" s="9"/>
      <c r="K481" s="10" t="n">
        <v>350000</v>
      </c>
      <c r="L481" s="10" t="n">
        <v>0</v>
      </c>
      <c r="M481" s="10" t="n">
        <v>350000</v>
      </c>
      <c r="N481" s="10" t="n">
        <v>0</v>
      </c>
      <c r="O481" s="10" t="n">
        <v>0</v>
      </c>
      <c r="P481" s="10" t="n">
        <v>0</v>
      </c>
      <c r="Q481" s="10" t="n">
        <v>350000</v>
      </c>
      <c r="R481" s="10" t="n">
        <v>0</v>
      </c>
      <c r="S481" s="10" t="n">
        <v>0</v>
      </c>
      <c r="T481" s="7"/>
      <c r="U481" s="7"/>
      <c r="V481" s="7"/>
      <c r="W481" s="7" t="s">
        <v>43</v>
      </c>
      <c r="X481" s="7"/>
      <c r="Y481" s="7" t="s">
        <v>37</v>
      </c>
      <c r="Z481" s="7" t="s">
        <v>1738</v>
      </c>
      <c r="AA481" s="7"/>
      <c r="AB481" s="10" t="n">
        <v>350000</v>
      </c>
      <c r="AC481" s="10" t="n">
        <v>1</v>
      </c>
    </row>
    <row r="482" customFormat="false" ht="15.75" hidden="true" customHeight="true" outlineLevel="0" collapsed="false">
      <c r="A482" s="6"/>
      <c r="B482" s="7" t="s">
        <v>1541</v>
      </c>
      <c r="C482" s="7" t="s">
        <v>31</v>
      </c>
      <c r="D482" s="7" t="s">
        <v>337</v>
      </c>
      <c r="E482" s="7" t="s">
        <v>202</v>
      </c>
      <c r="F482" s="8" t="s">
        <v>1739</v>
      </c>
      <c r="G482" s="9" t="n">
        <f aca="false">DATE(2000+VALUE(MID(F482,7,2)),VALUE(MID(F482,4,2)),VALUE(LEFT(F482,2)))</f>
        <v>45518</v>
      </c>
      <c r="H482" s="8" t="s">
        <v>1737</v>
      </c>
      <c r="I482" s="9" t="n">
        <f aca="false">DATE(2000+VALUE(MID(H482,7,2)),VALUE(MID(H482,4,2)),VALUE(LEFT(H482,2)))</f>
        <v>45519</v>
      </c>
      <c r="J482" s="9"/>
      <c r="K482" s="10" t="n">
        <v>200000</v>
      </c>
      <c r="L482" s="10" t="n">
        <v>0</v>
      </c>
      <c r="M482" s="10" t="n">
        <v>200000</v>
      </c>
      <c r="N482" s="10" t="n">
        <v>0</v>
      </c>
      <c r="O482" s="10" t="n">
        <v>200000</v>
      </c>
      <c r="P482" s="10" t="n">
        <v>0</v>
      </c>
      <c r="Q482" s="10" t="n">
        <v>0</v>
      </c>
      <c r="R482" s="10" t="n">
        <v>0</v>
      </c>
      <c r="S482" s="10" t="n">
        <v>0</v>
      </c>
      <c r="T482" s="7"/>
      <c r="U482" s="7"/>
      <c r="V482" s="7"/>
      <c r="W482" s="7" t="s">
        <v>43</v>
      </c>
      <c r="X482" s="7"/>
      <c r="Y482" s="7" t="s">
        <v>37</v>
      </c>
      <c r="Z482" s="7" t="s">
        <v>1740</v>
      </c>
      <c r="AA482" s="7"/>
      <c r="AB482" s="10" t="n">
        <v>200000</v>
      </c>
      <c r="AC482" s="10" t="n">
        <v>1</v>
      </c>
    </row>
    <row r="483" customFormat="false" ht="15.75" hidden="true" customHeight="true" outlineLevel="0" collapsed="false">
      <c r="A483" s="6"/>
      <c r="B483" s="7" t="s">
        <v>1420</v>
      </c>
      <c r="C483" s="7" t="s">
        <v>65</v>
      </c>
      <c r="D483" s="7" t="s">
        <v>82</v>
      </c>
      <c r="E483" s="7" t="s">
        <v>1741</v>
      </c>
      <c r="F483" s="8" t="s">
        <v>1742</v>
      </c>
      <c r="G483" s="9" t="n">
        <f aca="false">DATE(2000+VALUE(MID(F483,7,2)),VALUE(MID(F483,4,2)),VALUE(LEFT(F483,2)))</f>
        <v>45515</v>
      </c>
      <c r="H483" s="8" t="s">
        <v>1737</v>
      </c>
      <c r="I483" s="9" t="n">
        <f aca="false">DATE(2000+VALUE(MID(H483,7,2)),VALUE(MID(H483,4,2)),VALUE(LEFT(H483,2)))</f>
        <v>45519</v>
      </c>
      <c r="J483" s="9"/>
      <c r="K483" s="10" t="n">
        <v>1908504</v>
      </c>
      <c r="L483" s="10" t="n">
        <v>0</v>
      </c>
      <c r="M483" s="10" t="n">
        <v>1908504</v>
      </c>
      <c r="N483" s="10" t="n">
        <v>0</v>
      </c>
      <c r="O483" s="10" t="n">
        <v>0</v>
      </c>
      <c r="P483" s="10" t="n">
        <v>0</v>
      </c>
      <c r="Q483" s="10" t="n">
        <v>0</v>
      </c>
      <c r="R483" s="10" t="n">
        <v>1908504</v>
      </c>
      <c r="S483" s="10" t="n">
        <v>0</v>
      </c>
      <c r="T483" s="7"/>
      <c r="U483" s="7"/>
      <c r="V483" s="7"/>
      <c r="W483" s="7" t="s">
        <v>49</v>
      </c>
      <c r="X483" s="7"/>
      <c r="Y483" s="7" t="s">
        <v>37</v>
      </c>
      <c r="Z483" s="7" t="s">
        <v>1743</v>
      </c>
      <c r="AA483" s="7" t="s">
        <v>1744</v>
      </c>
      <c r="AB483" s="10" t="n">
        <v>477126</v>
      </c>
      <c r="AC483" s="10" t="n">
        <v>4</v>
      </c>
    </row>
    <row r="484" customFormat="false" ht="15.75" hidden="true" customHeight="true" outlineLevel="0" collapsed="false">
      <c r="A484" s="6"/>
      <c r="B484" s="7" t="s">
        <v>1497</v>
      </c>
      <c r="C484" s="7" t="s">
        <v>60</v>
      </c>
      <c r="D484" s="7" t="s">
        <v>116</v>
      </c>
      <c r="E484" s="7" t="s">
        <v>946</v>
      </c>
      <c r="F484" s="8" t="s">
        <v>1745</v>
      </c>
      <c r="G484" s="9" t="n">
        <f aca="false">DATE(2000+VALUE(MID(F484,7,2)),VALUE(MID(F484,4,2)),VALUE(LEFT(F484,2)))</f>
        <v>45518</v>
      </c>
      <c r="H484" s="8" t="s">
        <v>1746</v>
      </c>
      <c r="I484" s="9" t="n">
        <f aca="false">DATE(2000+VALUE(MID(H484,7,2)),VALUE(MID(H484,4,2)),VALUE(LEFT(H484,2)))</f>
        <v>45519</v>
      </c>
      <c r="J484" s="9"/>
      <c r="K484" s="10" t="n">
        <v>500000</v>
      </c>
      <c r="L484" s="10" t="n">
        <v>25000</v>
      </c>
      <c r="M484" s="10" t="n">
        <v>525000</v>
      </c>
      <c r="N484" s="10" t="n">
        <v>0</v>
      </c>
      <c r="O484" s="10" t="n">
        <v>25000</v>
      </c>
      <c r="P484" s="10" t="n">
        <v>0</v>
      </c>
      <c r="Q484" s="10" t="n">
        <v>500000</v>
      </c>
      <c r="R484" s="10" t="n">
        <v>0</v>
      </c>
      <c r="S484" s="10" t="n">
        <v>0</v>
      </c>
      <c r="T484" s="7"/>
      <c r="U484" s="7"/>
      <c r="V484" s="7"/>
      <c r="W484" s="7" t="s">
        <v>43</v>
      </c>
      <c r="X484" s="7"/>
      <c r="Y484" s="7" t="s">
        <v>37</v>
      </c>
      <c r="Z484" s="7" t="s">
        <v>1747</v>
      </c>
      <c r="AA484" s="7"/>
      <c r="AB484" s="10" t="n">
        <v>500000</v>
      </c>
      <c r="AC484" s="10" t="n">
        <v>1</v>
      </c>
    </row>
    <row r="485" customFormat="false" ht="15.75" hidden="true" customHeight="true" outlineLevel="0" collapsed="false">
      <c r="A485" s="6"/>
      <c r="B485" s="7" t="s">
        <v>1359</v>
      </c>
      <c r="C485" s="7" t="s">
        <v>65</v>
      </c>
      <c r="D485" s="7" t="s">
        <v>96</v>
      </c>
      <c r="E485" s="7" t="s">
        <v>1748</v>
      </c>
      <c r="F485" s="8" t="s">
        <v>1749</v>
      </c>
      <c r="G485" s="9" t="n">
        <f aca="false">DATE(2000+VALUE(MID(F485,7,2)),VALUE(MID(F485,4,2)),VALUE(LEFT(F485,2)))</f>
        <v>45515</v>
      </c>
      <c r="H485" s="8" t="s">
        <v>1750</v>
      </c>
      <c r="I485" s="9" t="n">
        <f aca="false">DATE(2000+VALUE(MID(H485,7,2)),VALUE(MID(H485,4,2)),VALUE(LEFT(H485,2)))</f>
        <v>45519</v>
      </c>
      <c r="J485" s="9"/>
      <c r="K485" s="10" t="n">
        <v>2410560</v>
      </c>
      <c r="L485" s="10" t="n">
        <v>0</v>
      </c>
      <c r="M485" s="10" t="n">
        <v>2410560</v>
      </c>
      <c r="N485" s="10" t="n">
        <v>0</v>
      </c>
      <c r="O485" s="10" t="n">
        <v>0</v>
      </c>
      <c r="P485" s="10" t="n">
        <v>0</v>
      </c>
      <c r="Q485" s="10" t="n">
        <v>0</v>
      </c>
      <c r="R485" s="10" t="n">
        <v>2410560</v>
      </c>
      <c r="S485" s="10" t="n">
        <v>0</v>
      </c>
      <c r="T485" s="7"/>
      <c r="U485" s="7"/>
      <c r="V485" s="7"/>
      <c r="W485" s="7" t="s">
        <v>49</v>
      </c>
      <c r="X485" s="7"/>
      <c r="Y485" s="7" t="s">
        <v>37</v>
      </c>
      <c r="Z485" s="7" t="s">
        <v>1751</v>
      </c>
      <c r="AA485" s="7" t="s">
        <v>1752</v>
      </c>
      <c r="AB485" s="10" t="n">
        <v>602640</v>
      </c>
      <c r="AC485" s="10" t="n">
        <v>4</v>
      </c>
    </row>
    <row r="486" customFormat="false" ht="15.75" hidden="true" customHeight="true" outlineLevel="0" collapsed="false">
      <c r="A486" s="6"/>
      <c r="B486" s="7" t="s">
        <v>1581</v>
      </c>
      <c r="C486" s="7" t="s">
        <v>65</v>
      </c>
      <c r="D486" s="7" t="s">
        <v>76</v>
      </c>
      <c r="E486" s="7" t="s">
        <v>1753</v>
      </c>
      <c r="F486" s="8" t="s">
        <v>1754</v>
      </c>
      <c r="G486" s="9" t="n">
        <f aca="false">DATE(2000+VALUE(MID(F486,7,2)),VALUE(MID(F486,4,2)),VALUE(LEFT(F486,2)))</f>
        <v>45519</v>
      </c>
      <c r="H486" s="8" t="s">
        <v>1755</v>
      </c>
      <c r="I486" s="9" t="n">
        <f aca="false">DATE(2000+VALUE(MID(H486,7,2)),VALUE(MID(H486,4,2)),VALUE(LEFT(H486,2)))</f>
        <v>45520</v>
      </c>
      <c r="J486" s="9"/>
      <c r="K486" s="10" t="n">
        <v>542376</v>
      </c>
      <c r="L486" s="10" t="n">
        <v>0</v>
      </c>
      <c r="M486" s="10" t="n">
        <v>542376</v>
      </c>
      <c r="N486" s="10" t="n">
        <v>0</v>
      </c>
      <c r="O486" s="10" t="n">
        <v>0</v>
      </c>
      <c r="P486" s="10" t="n">
        <v>0</v>
      </c>
      <c r="Q486" s="10" t="n">
        <v>542376</v>
      </c>
      <c r="R486" s="10" t="n">
        <v>0</v>
      </c>
      <c r="S486" s="10" t="n">
        <v>0</v>
      </c>
      <c r="T486" s="7"/>
      <c r="U486" s="7"/>
      <c r="V486" s="7"/>
      <c r="W486" s="7" t="s">
        <v>49</v>
      </c>
      <c r="X486" s="7"/>
      <c r="Y486" s="7" t="s">
        <v>37</v>
      </c>
      <c r="Z486" s="7" t="s">
        <v>1756</v>
      </c>
      <c r="AA486" s="7" t="s">
        <v>1757</v>
      </c>
      <c r="AB486" s="10" t="n">
        <v>542376</v>
      </c>
      <c r="AC486" s="10" t="n">
        <v>1</v>
      </c>
    </row>
    <row r="487" customFormat="false" ht="15.75" hidden="true" customHeight="true" outlineLevel="0" collapsed="false">
      <c r="A487" s="6"/>
      <c r="B487" s="7" t="s">
        <v>1492</v>
      </c>
      <c r="C487" s="7" t="s">
        <v>65</v>
      </c>
      <c r="D487" s="7" t="s">
        <v>82</v>
      </c>
      <c r="E487" s="7" t="s">
        <v>330</v>
      </c>
      <c r="F487" s="8" t="s">
        <v>1758</v>
      </c>
      <c r="G487" s="9" t="n">
        <f aca="false">DATE(2000+VALUE(MID(F487,7,2)),VALUE(MID(F487,4,2)),VALUE(LEFT(F487,2)))</f>
        <v>45519</v>
      </c>
      <c r="H487" s="8" t="s">
        <v>1759</v>
      </c>
      <c r="I487" s="9" t="n">
        <f aca="false">DATE(2000+VALUE(MID(H487,7,2)),VALUE(MID(H487,4,2)),VALUE(LEFT(H487,2)))</f>
        <v>45520</v>
      </c>
      <c r="J487" s="9"/>
      <c r="K487" s="10" t="n">
        <v>500000</v>
      </c>
      <c r="L487" s="10" t="n">
        <v>0</v>
      </c>
      <c r="M487" s="10" t="n">
        <v>500000</v>
      </c>
      <c r="N487" s="10" t="n">
        <v>0</v>
      </c>
      <c r="O487" s="10" t="n">
        <v>500000</v>
      </c>
      <c r="P487" s="10" t="n">
        <v>0</v>
      </c>
      <c r="Q487" s="10" t="n">
        <v>0</v>
      </c>
      <c r="R487" s="10" t="n">
        <v>0</v>
      </c>
      <c r="S487" s="10" t="n">
        <v>0</v>
      </c>
      <c r="T487" s="7"/>
      <c r="U487" s="7"/>
      <c r="V487" s="7"/>
      <c r="W487" s="7" t="s">
        <v>43</v>
      </c>
      <c r="X487" s="7"/>
      <c r="Y487" s="7" t="s">
        <v>37</v>
      </c>
      <c r="Z487" s="7" t="s">
        <v>1760</v>
      </c>
      <c r="AA487" s="7"/>
      <c r="AB487" s="10" t="n">
        <v>500000</v>
      </c>
      <c r="AC487" s="10" t="n">
        <v>1</v>
      </c>
    </row>
    <row r="488" customFormat="false" ht="15.75" hidden="true" customHeight="true" outlineLevel="0" collapsed="false">
      <c r="A488" s="6"/>
      <c r="B488" s="7" t="s">
        <v>1432</v>
      </c>
      <c r="C488" s="7" t="s">
        <v>71</v>
      </c>
      <c r="D488" s="7" t="s">
        <v>72</v>
      </c>
      <c r="E488" s="7" t="s">
        <v>1761</v>
      </c>
      <c r="F488" s="8" t="s">
        <v>1762</v>
      </c>
      <c r="G488" s="9" t="n">
        <f aca="false">DATE(2000+VALUE(MID(F488,7,2)),VALUE(MID(F488,4,2)),VALUE(LEFT(F488,2)))</f>
        <v>45517</v>
      </c>
      <c r="H488" s="8" t="s">
        <v>1763</v>
      </c>
      <c r="I488" s="9" t="n">
        <f aca="false">DATE(2000+VALUE(MID(H488,7,2)),VALUE(MID(H488,4,2)),VALUE(LEFT(H488,2)))</f>
        <v>45520</v>
      </c>
      <c r="J488" s="9"/>
      <c r="K488" s="10" t="n">
        <v>1740000</v>
      </c>
      <c r="L488" s="10" t="n">
        <v>0</v>
      </c>
      <c r="M488" s="10" t="n">
        <v>1740000</v>
      </c>
      <c r="N488" s="10" t="n">
        <v>0</v>
      </c>
      <c r="O488" s="10" t="n">
        <v>1740000</v>
      </c>
      <c r="P488" s="10" t="n">
        <v>0</v>
      </c>
      <c r="Q488" s="10" t="n">
        <v>0</v>
      </c>
      <c r="R488" s="10" t="n">
        <v>0</v>
      </c>
      <c r="S488" s="10" t="n">
        <v>0</v>
      </c>
      <c r="T488" s="7"/>
      <c r="U488" s="7"/>
      <c r="V488" s="7"/>
      <c r="W488" s="7" t="s">
        <v>43</v>
      </c>
      <c r="X488" s="7"/>
      <c r="Y488" s="7" t="s">
        <v>37</v>
      </c>
      <c r="Z488" s="7" t="s">
        <v>1764</v>
      </c>
      <c r="AA488" s="7"/>
      <c r="AB488" s="10" t="n">
        <v>580000</v>
      </c>
      <c r="AC488" s="10" t="n">
        <v>3</v>
      </c>
    </row>
    <row r="489" customFormat="false" ht="15.75" hidden="true" customHeight="true" outlineLevel="0" collapsed="false">
      <c r="A489" s="6"/>
      <c r="B489" s="7" t="s">
        <v>1403</v>
      </c>
      <c r="C489" s="7" t="s">
        <v>71</v>
      </c>
      <c r="D489" s="7" t="s">
        <v>92</v>
      </c>
      <c r="E489" s="7" t="s">
        <v>1765</v>
      </c>
      <c r="F489" s="8" t="s">
        <v>1745</v>
      </c>
      <c r="G489" s="9" t="n">
        <f aca="false">DATE(2000+VALUE(MID(F489,7,2)),VALUE(MID(F489,4,2)),VALUE(LEFT(F489,2)))</f>
        <v>45518</v>
      </c>
      <c r="H489" s="8" t="s">
        <v>1766</v>
      </c>
      <c r="I489" s="9" t="n">
        <f aca="false">DATE(2000+VALUE(MID(H489,7,2)),VALUE(MID(H489,4,2)),VALUE(LEFT(H489,2)))</f>
        <v>45520</v>
      </c>
      <c r="J489" s="9"/>
      <c r="K489" s="10" t="n">
        <v>1000000</v>
      </c>
      <c r="L489" s="10" t="n">
        <v>0</v>
      </c>
      <c r="M489" s="10" t="n">
        <v>1000000</v>
      </c>
      <c r="N489" s="10" t="n">
        <v>0</v>
      </c>
      <c r="O489" s="10" t="n">
        <v>1000000</v>
      </c>
      <c r="P489" s="10" t="n">
        <v>0</v>
      </c>
      <c r="Q489" s="10" t="n">
        <v>0</v>
      </c>
      <c r="R489" s="10" t="n">
        <v>0</v>
      </c>
      <c r="S489" s="10" t="n">
        <v>0</v>
      </c>
      <c r="T489" s="7"/>
      <c r="U489" s="7"/>
      <c r="V489" s="7"/>
      <c r="W489" s="7" t="s">
        <v>43</v>
      </c>
      <c r="X489" s="7"/>
      <c r="Y489" s="7" t="s">
        <v>37</v>
      </c>
      <c r="Z489" s="7" t="s">
        <v>1767</v>
      </c>
      <c r="AA489" s="7"/>
      <c r="AB489" s="10" t="n">
        <v>500000</v>
      </c>
      <c r="AC489" s="10" t="n">
        <v>2</v>
      </c>
    </row>
    <row r="490" customFormat="false" ht="15.75" hidden="true" customHeight="true" outlineLevel="0" collapsed="false">
      <c r="A490" s="6"/>
      <c r="B490" s="7" t="s">
        <v>1445</v>
      </c>
      <c r="C490" s="7" t="s">
        <v>65</v>
      </c>
      <c r="D490" s="7" t="s">
        <v>156</v>
      </c>
      <c r="E490" s="7" t="s">
        <v>1768</v>
      </c>
      <c r="F490" s="8" t="s">
        <v>1769</v>
      </c>
      <c r="G490" s="9" t="n">
        <f aca="false">DATE(2000+VALUE(MID(F490,7,2)),VALUE(MID(F490,4,2)),VALUE(LEFT(F490,2)))</f>
        <v>45519</v>
      </c>
      <c r="H490" s="8" t="s">
        <v>1770</v>
      </c>
      <c r="I490" s="9" t="n">
        <f aca="false">DATE(2000+VALUE(MID(H490,7,2)),VALUE(MID(H490,4,2)),VALUE(LEFT(H490,2)))</f>
        <v>45520</v>
      </c>
      <c r="J490" s="9"/>
      <c r="K490" s="10" t="n">
        <v>444528</v>
      </c>
      <c r="L490" s="10" t="n">
        <v>0</v>
      </c>
      <c r="M490" s="10" t="n">
        <v>444528</v>
      </c>
      <c r="N490" s="10" t="n">
        <v>0</v>
      </c>
      <c r="O490" s="10" t="n">
        <v>0</v>
      </c>
      <c r="P490" s="10" t="n">
        <v>0</v>
      </c>
      <c r="Q490" s="10" t="n">
        <v>0</v>
      </c>
      <c r="R490" s="10" t="n">
        <v>444528</v>
      </c>
      <c r="S490" s="10" t="n">
        <v>0</v>
      </c>
      <c r="T490" s="7"/>
      <c r="U490" s="7"/>
      <c r="V490" s="7"/>
      <c r="W490" s="7" t="s">
        <v>49</v>
      </c>
      <c r="X490" s="7"/>
      <c r="Y490" s="7" t="s">
        <v>37</v>
      </c>
      <c r="Z490" s="7" t="s">
        <v>1771</v>
      </c>
      <c r="AA490" s="7" t="s">
        <v>1772</v>
      </c>
      <c r="AB490" s="10" t="n">
        <v>444528</v>
      </c>
      <c r="AC490" s="10" t="n">
        <v>1</v>
      </c>
    </row>
    <row r="491" customFormat="false" ht="15.75" hidden="true" customHeight="true" outlineLevel="0" collapsed="false">
      <c r="A491" s="6"/>
      <c r="B491" s="7" t="s">
        <v>825</v>
      </c>
      <c r="C491" s="7" t="s">
        <v>65</v>
      </c>
      <c r="D491" s="7" t="s">
        <v>66</v>
      </c>
      <c r="E491" s="7" t="s">
        <v>1773</v>
      </c>
      <c r="F491" s="8" t="s">
        <v>1774</v>
      </c>
      <c r="G491" s="9" t="n">
        <f aca="false">DATE(2000+VALUE(MID(F491,7,2)),VALUE(MID(F491,4,2)),VALUE(LEFT(F491,2)))</f>
        <v>45520</v>
      </c>
      <c r="H491" s="8" t="s">
        <v>1775</v>
      </c>
      <c r="I491" s="9" t="n">
        <f aca="false">DATE(2000+VALUE(MID(H491,7,2)),VALUE(MID(H491,4,2)),VALUE(LEFT(H491,2)))</f>
        <v>45521</v>
      </c>
      <c r="J491" s="9"/>
      <c r="K491" s="10" t="n">
        <v>583920</v>
      </c>
      <c r="L491" s="10" t="n">
        <v>0</v>
      </c>
      <c r="M491" s="10" t="n">
        <v>583920</v>
      </c>
      <c r="N491" s="10" t="n">
        <v>0</v>
      </c>
      <c r="O491" s="10" t="n">
        <v>0</v>
      </c>
      <c r="P491" s="10" t="n">
        <v>0</v>
      </c>
      <c r="Q491" s="10" t="n">
        <v>0</v>
      </c>
      <c r="R491" s="10" t="n">
        <v>583920</v>
      </c>
      <c r="S491" s="10" t="n">
        <v>0</v>
      </c>
      <c r="T491" s="7"/>
      <c r="U491" s="7"/>
      <c r="V491" s="7"/>
      <c r="W491" s="7" t="s">
        <v>49</v>
      </c>
      <c r="X491" s="7"/>
      <c r="Y491" s="7" t="s">
        <v>37</v>
      </c>
      <c r="Z491" s="7" t="s">
        <v>1776</v>
      </c>
      <c r="AA491" s="7" t="s">
        <v>1777</v>
      </c>
      <c r="AB491" s="10" t="n">
        <v>583920</v>
      </c>
      <c r="AC491" s="10" t="n">
        <v>1</v>
      </c>
    </row>
    <row r="492" customFormat="false" ht="15.75" hidden="true" customHeight="true" outlineLevel="0" collapsed="false">
      <c r="A492" s="6"/>
      <c r="B492" s="7" t="s">
        <v>1400</v>
      </c>
      <c r="C492" s="7" t="s">
        <v>31</v>
      </c>
      <c r="D492" s="7" t="s">
        <v>39</v>
      </c>
      <c r="E492" s="7" t="s">
        <v>1778</v>
      </c>
      <c r="F492" s="8" t="s">
        <v>1779</v>
      </c>
      <c r="G492" s="9" t="n">
        <f aca="false">DATE(2000+VALUE(MID(F492,7,2)),VALUE(MID(F492,4,2)),VALUE(LEFT(F492,2)))</f>
        <v>45519</v>
      </c>
      <c r="H492" s="8" t="s">
        <v>1780</v>
      </c>
      <c r="I492" s="9" t="n">
        <f aca="false">DATE(2000+VALUE(MID(H492,7,2)),VALUE(MID(H492,4,2)),VALUE(LEFT(H492,2)))</f>
        <v>45521</v>
      </c>
      <c r="J492" s="9"/>
      <c r="K492" s="10" t="n">
        <v>1271548</v>
      </c>
      <c r="L492" s="10" t="n">
        <v>0</v>
      </c>
      <c r="M492" s="10" t="n">
        <v>1271548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1271548</v>
      </c>
      <c r="S492" s="10" t="n">
        <v>0</v>
      </c>
      <c r="T492" s="7"/>
      <c r="U492" s="7"/>
      <c r="V492" s="7"/>
      <c r="W492" s="7" t="s">
        <v>49</v>
      </c>
      <c r="X492" s="7"/>
      <c r="Y492" s="7" t="s">
        <v>37</v>
      </c>
      <c r="Z492" s="7" t="s">
        <v>1781</v>
      </c>
      <c r="AA492" s="7" t="s">
        <v>1782</v>
      </c>
      <c r="AB492" s="10" t="n">
        <v>635774</v>
      </c>
      <c r="AC492" s="10" t="n">
        <v>2</v>
      </c>
    </row>
    <row r="493" customFormat="false" ht="15.75" hidden="true" customHeight="true" outlineLevel="0" collapsed="false">
      <c r="A493" s="6"/>
      <c r="B493" s="7" t="s">
        <v>1462</v>
      </c>
      <c r="C493" s="7" t="s">
        <v>71</v>
      </c>
      <c r="D493" s="7" t="s">
        <v>92</v>
      </c>
      <c r="E493" s="7" t="s">
        <v>1288</v>
      </c>
      <c r="F493" s="8" t="s">
        <v>1783</v>
      </c>
      <c r="G493" s="9" t="n">
        <f aca="false">DATE(2000+VALUE(MID(F493,7,2)),VALUE(MID(F493,4,2)),VALUE(LEFT(F493,2)))</f>
        <v>45520</v>
      </c>
      <c r="H493" s="8" t="s">
        <v>1784</v>
      </c>
      <c r="I493" s="9" t="n">
        <f aca="false">DATE(2000+VALUE(MID(H493,7,2)),VALUE(MID(H493,4,2)),VALUE(LEFT(H493,2)))</f>
        <v>45521</v>
      </c>
      <c r="J493" s="9"/>
      <c r="K493" s="10" t="n">
        <v>550000</v>
      </c>
      <c r="L493" s="10" t="n">
        <v>27500</v>
      </c>
      <c r="M493" s="10" t="n">
        <v>577500</v>
      </c>
      <c r="N493" s="10" t="n">
        <v>0</v>
      </c>
      <c r="O493" s="10" t="n">
        <v>0</v>
      </c>
      <c r="P493" s="10" t="n">
        <v>0</v>
      </c>
      <c r="Q493" s="10" t="n">
        <v>0</v>
      </c>
      <c r="R493" s="10" t="n">
        <v>577500</v>
      </c>
      <c r="S493" s="10" t="n">
        <v>0</v>
      </c>
      <c r="T493" s="7"/>
      <c r="U493" s="7"/>
      <c r="V493" s="7"/>
      <c r="W493" s="7" t="s">
        <v>43</v>
      </c>
      <c r="X493" s="7"/>
      <c r="Y493" s="7" t="s">
        <v>37</v>
      </c>
      <c r="Z493" s="7" t="s">
        <v>1785</v>
      </c>
      <c r="AA493" s="7"/>
      <c r="AB493" s="10" t="n">
        <v>550000</v>
      </c>
      <c r="AC493" s="10" t="n">
        <v>1</v>
      </c>
    </row>
    <row r="494" customFormat="false" ht="15.75" hidden="true" customHeight="true" outlineLevel="0" collapsed="false">
      <c r="A494" s="6"/>
      <c r="B494" s="7" t="s">
        <v>1457</v>
      </c>
      <c r="C494" s="7" t="s">
        <v>65</v>
      </c>
      <c r="D494" s="7" t="s">
        <v>156</v>
      </c>
      <c r="E494" s="7" t="s">
        <v>1768</v>
      </c>
      <c r="F494" s="8" t="s">
        <v>1786</v>
      </c>
      <c r="G494" s="9" t="n">
        <f aca="false">DATE(2000+VALUE(MID(F494,7,2)),VALUE(MID(F494,4,2)),VALUE(LEFT(F494,2)))</f>
        <v>45520</v>
      </c>
      <c r="H494" s="8" t="s">
        <v>1787</v>
      </c>
      <c r="I494" s="9" t="n">
        <f aca="false">DATE(2000+VALUE(MID(H494,7,2)),VALUE(MID(H494,4,2)),VALUE(LEFT(H494,2)))</f>
        <v>45521</v>
      </c>
      <c r="J494" s="9"/>
      <c r="K494" s="10" t="n">
        <v>550000</v>
      </c>
      <c r="L494" s="10" t="n">
        <v>0</v>
      </c>
      <c r="M494" s="10" t="n">
        <v>550000</v>
      </c>
      <c r="N494" s="10" t="n">
        <v>0</v>
      </c>
      <c r="O494" s="10" t="n">
        <v>0</v>
      </c>
      <c r="P494" s="10" t="n">
        <v>0</v>
      </c>
      <c r="Q494" s="10" t="n">
        <v>0</v>
      </c>
      <c r="R494" s="10" t="n">
        <v>550000</v>
      </c>
      <c r="S494" s="10" t="n">
        <v>0</v>
      </c>
      <c r="T494" s="7"/>
      <c r="U494" s="7"/>
      <c r="V494" s="7"/>
      <c r="W494" s="7" t="s">
        <v>43</v>
      </c>
      <c r="X494" s="7"/>
      <c r="Y494" s="7" t="s">
        <v>37</v>
      </c>
      <c r="Z494" s="7" t="s">
        <v>1788</v>
      </c>
      <c r="AA494" s="7"/>
      <c r="AB494" s="10" t="n">
        <v>550000</v>
      </c>
      <c r="AC494" s="10" t="n">
        <v>1</v>
      </c>
    </row>
    <row r="495" customFormat="false" ht="15.75" hidden="true" customHeight="true" outlineLevel="0" collapsed="false">
      <c r="A495" s="6"/>
      <c r="B495" s="7" t="s">
        <v>1459</v>
      </c>
      <c r="C495" s="7" t="s">
        <v>31</v>
      </c>
      <c r="D495" s="7" t="s">
        <v>105</v>
      </c>
      <c r="E495" s="7" t="s">
        <v>1789</v>
      </c>
      <c r="F495" s="8" t="s">
        <v>1790</v>
      </c>
      <c r="G495" s="9" t="n">
        <f aca="false">DATE(2000+VALUE(MID(F495,7,2)),VALUE(MID(F495,4,2)),VALUE(LEFT(F495,2)))</f>
        <v>45521</v>
      </c>
      <c r="H495" s="8" t="s">
        <v>1791</v>
      </c>
      <c r="I495" s="9" t="n">
        <f aca="false">DATE(2000+VALUE(MID(H495,7,2)),VALUE(MID(H495,4,2)),VALUE(LEFT(H495,2)))</f>
        <v>45521</v>
      </c>
      <c r="J495" s="9"/>
      <c r="K495" s="10" t="n">
        <v>500000</v>
      </c>
      <c r="L495" s="10" t="n">
        <v>0</v>
      </c>
      <c r="M495" s="10" t="n">
        <v>500000</v>
      </c>
      <c r="N495" s="10" t="n">
        <v>0</v>
      </c>
      <c r="O495" s="10" t="n">
        <v>0</v>
      </c>
      <c r="P495" s="10" t="n">
        <v>0</v>
      </c>
      <c r="Q495" s="10" t="n">
        <v>500000</v>
      </c>
      <c r="R495" s="10" t="n">
        <v>0</v>
      </c>
      <c r="S495" s="10" t="n">
        <v>0</v>
      </c>
      <c r="T495" s="7"/>
      <c r="U495" s="7"/>
      <c r="V495" s="7"/>
      <c r="W495" s="7" t="s">
        <v>43</v>
      </c>
      <c r="X495" s="7"/>
      <c r="Y495" s="7" t="s">
        <v>37</v>
      </c>
      <c r="Z495" s="7" t="s">
        <v>1792</v>
      </c>
      <c r="AA495" s="7"/>
      <c r="AB495" s="10" t="n">
        <v>500000</v>
      </c>
      <c r="AC495" s="10" t="n">
        <v>1</v>
      </c>
    </row>
    <row r="496" customFormat="false" ht="15.75" hidden="true" customHeight="true" outlineLevel="0" collapsed="false">
      <c r="A496" s="6"/>
      <c r="B496" s="7" t="s">
        <v>1451</v>
      </c>
      <c r="C496" s="7" t="s">
        <v>65</v>
      </c>
      <c r="D496" s="7" t="s">
        <v>66</v>
      </c>
      <c r="E496" s="7" t="s">
        <v>1793</v>
      </c>
      <c r="F496" s="8" t="s">
        <v>1794</v>
      </c>
      <c r="G496" s="9" t="n">
        <f aca="false">DATE(2000+VALUE(MID(F496,7,2)),VALUE(MID(F496,4,2)),VALUE(LEFT(F496,2)))</f>
        <v>45521</v>
      </c>
      <c r="H496" s="8" t="s">
        <v>1795</v>
      </c>
      <c r="I496" s="9" t="n">
        <f aca="false">DATE(2000+VALUE(MID(H496,7,2)),VALUE(MID(H496,4,2)),VALUE(LEFT(H496,2)))</f>
        <v>45521</v>
      </c>
      <c r="J496" s="9"/>
      <c r="K496" s="10" t="n">
        <v>350000</v>
      </c>
      <c r="L496" s="10" t="n">
        <v>0</v>
      </c>
      <c r="M496" s="10" t="n">
        <v>350000</v>
      </c>
      <c r="N496" s="10" t="n">
        <v>0</v>
      </c>
      <c r="O496" s="10" t="n">
        <v>350000</v>
      </c>
      <c r="P496" s="10" t="n">
        <v>0</v>
      </c>
      <c r="Q496" s="10" t="n">
        <v>0</v>
      </c>
      <c r="R496" s="10" t="n">
        <v>0</v>
      </c>
      <c r="S496" s="10" t="n">
        <v>0</v>
      </c>
      <c r="T496" s="7"/>
      <c r="U496" s="7"/>
      <c r="V496" s="7"/>
      <c r="W496" s="7" t="s">
        <v>43</v>
      </c>
      <c r="X496" s="7"/>
      <c r="Y496" s="7" t="s">
        <v>37</v>
      </c>
      <c r="Z496" s="7" t="s">
        <v>1796</v>
      </c>
      <c r="AA496" s="7"/>
      <c r="AB496" s="10" t="n">
        <v>350000</v>
      </c>
      <c r="AC496" s="10" t="n">
        <v>1</v>
      </c>
    </row>
    <row r="497" customFormat="false" ht="15.75" hidden="true" customHeight="true" outlineLevel="0" collapsed="false">
      <c r="A497" s="6"/>
      <c r="B497" s="7" t="s">
        <v>1396</v>
      </c>
      <c r="C497" s="7" t="s">
        <v>65</v>
      </c>
      <c r="D497" s="7" t="s">
        <v>76</v>
      </c>
      <c r="E497" s="7" t="s">
        <v>97</v>
      </c>
      <c r="F497" s="8" t="s">
        <v>1797</v>
      </c>
      <c r="G497" s="9" t="n">
        <f aca="false">DATE(2000+VALUE(MID(F497,7,2)),VALUE(MID(F497,4,2)),VALUE(LEFT(F497,2)))</f>
        <v>45520</v>
      </c>
      <c r="H497" s="8" t="s">
        <v>1798</v>
      </c>
      <c r="I497" s="9" t="n">
        <f aca="false">DATE(2000+VALUE(MID(H497,7,2)),VALUE(MID(H497,4,2)),VALUE(LEFT(H497,2)))</f>
        <v>45522</v>
      </c>
      <c r="J497" s="9"/>
      <c r="K497" s="10" t="n">
        <v>1100000</v>
      </c>
      <c r="L497" s="10" t="n">
        <v>0</v>
      </c>
      <c r="M497" s="10" t="n">
        <v>1100000</v>
      </c>
      <c r="N497" s="10" t="n">
        <v>0</v>
      </c>
      <c r="O497" s="10" t="n">
        <v>0</v>
      </c>
      <c r="P497" s="10" t="n">
        <v>0</v>
      </c>
      <c r="Q497" s="10" t="n">
        <v>1100000</v>
      </c>
      <c r="R497" s="10" t="n">
        <v>0</v>
      </c>
      <c r="S497" s="10" t="n">
        <v>0</v>
      </c>
      <c r="T497" s="7"/>
      <c r="U497" s="7"/>
      <c r="V497" s="7"/>
      <c r="W497" s="7" t="s">
        <v>43</v>
      </c>
      <c r="X497" s="7"/>
      <c r="Y497" s="7" t="s">
        <v>37</v>
      </c>
      <c r="Z497" s="7" t="s">
        <v>1799</v>
      </c>
      <c r="AA497" s="7"/>
      <c r="AB497" s="10" t="n">
        <v>550000</v>
      </c>
      <c r="AC497" s="10" t="n">
        <v>2</v>
      </c>
    </row>
    <row r="498" customFormat="false" ht="15.75" hidden="true" customHeight="true" outlineLevel="0" collapsed="false">
      <c r="A498" s="6"/>
      <c r="B498" s="7" t="s">
        <v>1478</v>
      </c>
      <c r="C498" s="7" t="s">
        <v>60</v>
      </c>
      <c r="D498" s="7" t="s">
        <v>61</v>
      </c>
      <c r="E498" s="7" t="s">
        <v>1800</v>
      </c>
      <c r="F498" s="8" t="s">
        <v>1801</v>
      </c>
      <c r="G498" s="9" t="n">
        <f aca="false">DATE(2000+VALUE(MID(F498,7,2)),VALUE(MID(F498,4,2)),VALUE(LEFT(F498,2)))</f>
        <v>45521</v>
      </c>
      <c r="H498" s="8" t="s">
        <v>1802</v>
      </c>
      <c r="I498" s="9" t="n">
        <f aca="false">DATE(2000+VALUE(MID(H498,7,2)),VALUE(MID(H498,4,2)),VALUE(LEFT(H498,2)))</f>
        <v>45522</v>
      </c>
      <c r="J498" s="9"/>
      <c r="K498" s="10" t="n">
        <v>749000</v>
      </c>
      <c r="L498" s="10" t="n">
        <v>0</v>
      </c>
      <c r="M498" s="10" t="n">
        <v>749000</v>
      </c>
      <c r="N498" s="10" t="n">
        <v>0</v>
      </c>
      <c r="O498" s="10" t="n">
        <v>249000</v>
      </c>
      <c r="P498" s="10" t="n">
        <v>0</v>
      </c>
      <c r="Q498" s="10" t="n">
        <v>500000</v>
      </c>
      <c r="R498" s="10" t="n">
        <v>0</v>
      </c>
      <c r="S498" s="10" t="n">
        <v>0</v>
      </c>
      <c r="T498" s="7"/>
      <c r="U498" s="7"/>
      <c r="V498" s="7"/>
      <c r="W498" s="7" t="s">
        <v>36</v>
      </c>
      <c r="X498" s="7"/>
      <c r="Y498" s="7" t="s">
        <v>37</v>
      </c>
      <c r="Z498" s="7" t="s">
        <v>1803</v>
      </c>
      <c r="AA498" s="7"/>
      <c r="AB498" s="10" t="n">
        <v>749000</v>
      </c>
      <c r="AC498" s="10" t="n">
        <v>1</v>
      </c>
    </row>
    <row r="499" customFormat="false" ht="15.75" hidden="true" customHeight="true" outlineLevel="0" collapsed="false">
      <c r="A499" s="6"/>
      <c r="B499" s="7" t="s">
        <v>1488</v>
      </c>
      <c r="C499" s="7" t="s">
        <v>60</v>
      </c>
      <c r="D499" s="7" t="s">
        <v>164</v>
      </c>
      <c r="E499" s="7" t="s">
        <v>1804</v>
      </c>
      <c r="F499" s="8" t="s">
        <v>1805</v>
      </c>
      <c r="G499" s="9" t="n">
        <f aca="false">DATE(2000+VALUE(MID(F499,7,2)),VALUE(MID(F499,4,2)),VALUE(LEFT(F499,2)))</f>
        <v>45519</v>
      </c>
      <c r="H499" s="8" t="s">
        <v>1806</v>
      </c>
      <c r="I499" s="9" t="n">
        <f aca="false">DATE(2000+VALUE(MID(H499,7,2)),VALUE(MID(H499,4,2)),VALUE(LEFT(H499,2)))</f>
        <v>45523</v>
      </c>
      <c r="J499" s="9"/>
      <c r="K499" s="10" t="n">
        <v>1980000</v>
      </c>
      <c r="L499" s="10" t="n">
        <v>0</v>
      </c>
      <c r="M499" s="10" t="n">
        <v>1980000</v>
      </c>
      <c r="N499" s="10" t="n">
        <v>0</v>
      </c>
      <c r="O499" s="10" t="n">
        <v>1980000</v>
      </c>
      <c r="P499" s="10" t="n">
        <v>0</v>
      </c>
      <c r="Q499" s="10" t="n">
        <v>0</v>
      </c>
      <c r="R499" s="10" t="n">
        <v>0</v>
      </c>
      <c r="S499" s="10" t="n">
        <v>0</v>
      </c>
      <c r="T499" s="7"/>
      <c r="U499" s="7"/>
      <c r="V499" s="7"/>
      <c r="W499" s="7" t="s">
        <v>43</v>
      </c>
      <c r="X499" s="7"/>
      <c r="Y499" s="7" t="s">
        <v>37</v>
      </c>
      <c r="Z499" s="7" t="s">
        <v>1807</v>
      </c>
      <c r="AA499" s="7"/>
      <c r="AB499" s="10" t="n">
        <v>495000</v>
      </c>
      <c r="AC499" s="10" t="n">
        <v>4</v>
      </c>
    </row>
    <row r="500" customFormat="false" ht="15.75" hidden="true" customHeight="true" outlineLevel="0" collapsed="false">
      <c r="A500" s="6"/>
      <c r="B500" s="7" t="s">
        <v>1808</v>
      </c>
      <c r="C500" s="7" t="s">
        <v>65</v>
      </c>
      <c r="D500" s="7" t="s">
        <v>82</v>
      </c>
      <c r="E500" s="7" t="s">
        <v>1809</v>
      </c>
      <c r="F500" s="8" t="s">
        <v>1810</v>
      </c>
      <c r="G500" s="9" t="n">
        <f aca="false">DATE(2000+VALUE(MID(F500,7,2)),VALUE(MID(F500,4,2)),VALUE(LEFT(F500,2)))</f>
        <v>45520</v>
      </c>
      <c r="H500" s="8" t="s">
        <v>1811</v>
      </c>
      <c r="I500" s="9" t="n">
        <f aca="false">DATE(2000+VALUE(MID(H500,7,2)),VALUE(MID(H500,4,2)),VALUE(LEFT(H500,2)))</f>
        <v>45523</v>
      </c>
      <c r="J500" s="9"/>
      <c r="K500" s="10" t="n">
        <v>1500000</v>
      </c>
      <c r="L500" s="10" t="n">
        <v>0</v>
      </c>
      <c r="M500" s="10" t="n">
        <v>1500000</v>
      </c>
      <c r="N500" s="10" t="n">
        <v>0</v>
      </c>
      <c r="O500" s="10" t="n">
        <v>1000000</v>
      </c>
      <c r="P500" s="10" t="n">
        <v>0</v>
      </c>
      <c r="Q500" s="10" t="n">
        <v>500000</v>
      </c>
      <c r="R500" s="10" t="n">
        <v>0</v>
      </c>
      <c r="S500" s="10" t="n">
        <v>0</v>
      </c>
      <c r="T500" s="7"/>
      <c r="U500" s="7"/>
      <c r="V500" s="7"/>
      <c r="W500" s="7" t="s">
        <v>43</v>
      </c>
      <c r="X500" s="7"/>
      <c r="Y500" s="7" t="s">
        <v>37</v>
      </c>
      <c r="Z500" s="7" t="s">
        <v>1812</v>
      </c>
      <c r="AA500" s="7"/>
      <c r="AB500" s="10" t="n">
        <v>500000</v>
      </c>
      <c r="AC500" s="10" t="n">
        <v>3</v>
      </c>
    </row>
    <row r="501" customFormat="false" ht="15.75" hidden="true" customHeight="true" outlineLevel="0" collapsed="false">
      <c r="A501" s="6"/>
      <c r="B501" s="7" t="s">
        <v>1813</v>
      </c>
      <c r="C501" s="7" t="s">
        <v>65</v>
      </c>
      <c r="D501" s="7" t="s">
        <v>66</v>
      </c>
      <c r="E501" s="7" t="s">
        <v>1814</v>
      </c>
      <c r="F501" s="8" t="s">
        <v>1815</v>
      </c>
      <c r="G501" s="9" t="n">
        <f aca="false">DATE(2000+VALUE(MID(F501,7,2)),VALUE(MID(F501,4,2)),VALUE(LEFT(F501,2)))</f>
        <v>45523</v>
      </c>
      <c r="H501" s="8" t="s">
        <v>1816</v>
      </c>
      <c r="I501" s="9" t="n">
        <f aca="false">DATE(2000+VALUE(MID(H501,7,2)),VALUE(MID(H501,4,2)),VALUE(LEFT(H501,2)))</f>
        <v>45523</v>
      </c>
      <c r="J501" s="9"/>
      <c r="K501" s="10" t="n">
        <v>495000</v>
      </c>
      <c r="L501" s="10" t="n">
        <v>0</v>
      </c>
      <c r="M501" s="10" t="n">
        <v>495000</v>
      </c>
      <c r="N501" s="10" t="n">
        <v>0</v>
      </c>
      <c r="O501" s="10" t="n">
        <v>495000</v>
      </c>
      <c r="P501" s="10" t="n">
        <v>0</v>
      </c>
      <c r="Q501" s="10" t="n">
        <v>0</v>
      </c>
      <c r="R501" s="10" t="n">
        <v>0</v>
      </c>
      <c r="S501" s="10" t="n">
        <v>0</v>
      </c>
      <c r="T501" s="7"/>
      <c r="U501" s="7"/>
      <c r="V501" s="7"/>
      <c r="W501" s="7" t="s">
        <v>43</v>
      </c>
      <c r="X501" s="7"/>
      <c r="Y501" s="7" t="s">
        <v>37</v>
      </c>
      <c r="Z501" s="7" t="s">
        <v>1817</v>
      </c>
      <c r="AA501" s="7"/>
      <c r="AB501" s="10" t="n">
        <v>495000</v>
      </c>
      <c r="AC501" s="10" t="n">
        <v>1</v>
      </c>
    </row>
    <row r="502" customFormat="false" ht="15.75" hidden="true" customHeight="true" outlineLevel="0" collapsed="false">
      <c r="A502" s="6"/>
      <c r="B502" s="7" t="s">
        <v>1514</v>
      </c>
      <c r="C502" s="7" t="s">
        <v>31</v>
      </c>
      <c r="D502" s="7" t="s">
        <v>32</v>
      </c>
      <c r="E502" s="7" t="s">
        <v>1818</v>
      </c>
      <c r="F502" s="8" t="s">
        <v>1819</v>
      </c>
      <c r="G502" s="9" t="n">
        <f aca="false">DATE(2000+VALUE(MID(F502,7,2)),VALUE(MID(F502,4,2)),VALUE(LEFT(F502,2)))</f>
        <v>45523</v>
      </c>
      <c r="H502" s="8" t="s">
        <v>1820</v>
      </c>
      <c r="I502" s="9" t="n">
        <f aca="false">DATE(2000+VALUE(MID(H502,7,2)),VALUE(MID(H502,4,2)),VALUE(LEFT(H502,2)))</f>
        <v>45524</v>
      </c>
      <c r="J502" s="9"/>
      <c r="K502" s="10" t="n">
        <v>602223</v>
      </c>
      <c r="L502" s="10" t="n">
        <v>0</v>
      </c>
      <c r="M502" s="10" t="n">
        <v>602223</v>
      </c>
      <c r="N502" s="10" t="n">
        <v>0</v>
      </c>
      <c r="O502" s="10" t="n">
        <v>0</v>
      </c>
      <c r="P502" s="10" t="n">
        <v>0</v>
      </c>
      <c r="Q502" s="10" t="n">
        <v>0</v>
      </c>
      <c r="R502" s="10" t="n">
        <v>602223</v>
      </c>
      <c r="S502" s="10" t="n">
        <v>0</v>
      </c>
      <c r="T502" s="7"/>
      <c r="U502" s="7"/>
      <c r="V502" s="7"/>
      <c r="W502" s="7" t="s">
        <v>49</v>
      </c>
      <c r="X502" s="7"/>
      <c r="Y502" s="7" t="s">
        <v>37</v>
      </c>
      <c r="Z502" s="7" t="s">
        <v>1821</v>
      </c>
      <c r="AA502" s="7" t="s">
        <v>1822</v>
      </c>
      <c r="AB502" s="10" t="n">
        <v>602223</v>
      </c>
      <c r="AC502" s="10" t="n">
        <v>1</v>
      </c>
    </row>
    <row r="503" customFormat="false" ht="15.75" hidden="true" customHeight="true" outlineLevel="0" collapsed="false">
      <c r="A503" s="6"/>
      <c r="B503" s="7" t="s">
        <v>1482</v>
      </c>
      <c r="C503" s="7" t="s">
        <v>65</v>
      </c>
      <c r="D503" s="7" t="s">
        <v>76</v>
      </c>
      <c r="E503" s="7" t="s">
        <v>1823</v>
      </c>
      <c r="F503" s="8" t="s">
        <v>1824</v>
      </c>
      <c r="G503" s="9" t="n">
        <f aca="false">DATE(2000+VALUE(MID(F503,7,2)),VALUE(MID(F503,4,2)),VALUE(LEFT(F503,2)))</f>
        <v>45523</v>
      </c>
      <c r="H503" s="8" t="s">
        <v>1825</v>
      </c>
      <c r="I503" s="9" t="n">
        <f aca="false">DATE(2000+VALUE(MID(H503,7,2)),VALUE(MID(H503,4,2)),VALUE(LEFT(H503,2)))</f>
        <v>45524</v>
      </c>
      <c r="J503" s="9"/>
      <c r="K503" s="10" t="n">
        <v>495000</v>
      </c>
      <c r="L503" s="10" t="n">
        <v>20000</v>
      </c>
      <c r="M503" s="10" t="n">
        <v>515000</v>
      </c>
      <c r="N503" s="10" t="n">
        <v>0</v>
      </c>
      <c r="O503" s="10" t="n">
        <v>215000</v>
      </c>
      <c r="P503" s="10" t="n">
        <v>0</v>
      </c>
      <c r="Q503" s="10" t="n">
        <v>300000</v>
      </c>
      <c r="R503" s="10" t="n">
        <v>0</v>
      </c>
      <c r="S503" s="10" t="n">
        <v>0</v>
      </c>
      <c r="T503" s="7"/>
      <c r="U503" s="7"/>
      <c r="V503" s="7"/>
      <c r="W503" s="7" t="s">
        <v>43</v>
      </c>
      <c r="X503" s="7"/>
      <c r="Y503" s="7" t="s">
        <v>37</v>
      </c>
      <c r="Z503" s="7" t="s">
        <v>1826</v>
      </c>
      <c r="AA503" s="7"/>
      <c r="AB503" s="10" t="n">
        <v>495000</v>
      </c>
      <c r="AC503" s="10" t="n">
        <v>1</v>
      </c>
    </row>
    <row r="504" customFormat="false" ht="15.75" hidden="true" customHeight="true" outlineLevel="0" collapsed="false">
      <c r="A504" s="6"/>
      <c r="B504" s="7" t="s">
        <v>1482</v>
      </c>
      <c r="C504" s="7" t="s">
        <v>60</v>
      </c>
      <c r="D504" s="7" t="s">
        <v>61</v>
      </c>
      <c r="E504" s="7" t="s">
        <v>202</v>
      </c>
      <c r="F504" s="8" t="s">
        <v>1824</v>
      </c>
      <c r="G504" s="9" t="n">
        <f aca="false">DATE(2000+VALUE(MID(F504,7,2)),VALUE(MID(F504,4,2)),VALUE(LEFT(F504,2)))</f>
        <v>45523</v>
      </c>
      <c r="H504" s="8" t="s">
        <v>1825</v>
      </c>
      <c r="I504" s="9" t="n">
        <f aca="false">DATE(2000+VALUE(MID(H504,7,2)),VALUE(MID(H504,4,2)),VALUE(LEFT(H504,2)))</f>
        <v>45524</v>
      </c>
      <c r="J504" s="9"/>
      <c r="K504" s="10" t="n">
        <v>495000</v>
      </c>
      <c r="L504" s="10" t="n">
        <v>0</v>
      </c>
      <c r="M504" s="10" t="n">
        <v>495000</v>
      </c>
      <c r="N504" s="10" t="n">
        <v>0</v>
      </c>
      <c r="O504" s="10" t="n">
        <v>495000</v>
      </c>
      <c r="P504" s="10" t="n">
        <v>0</v>
      </c>
      <c r="Q504" s="10" t="n">
        <v>0</v>
      </c>
      <c r="R504" s="10" t="n">
        <v>0</v>
      </c>
      <c r="S504" s="10" t="n">
        <v>0</v>
      </c>
      <c r="T504" s="7"/>
      <c r="U504" s="7"/>
      <c r="V504" s="7"/>
      <c r="W504" s="7" t="s">
        <v>43</v>
      </c>
      <c r="X504" s="7"/>
      <c r="Y504" s="7" t="s">
        <v>37</v>
      </c>
      <c r="Z504" s="7" t="s">
        <v>1827</v>
      </c>
      <c r="AA504" s="7"/>
      <c r="AB504" s="10" t="n">
        <v>495000</v>
      </c>
      <c r="AC504" s="10" t="n">
        <v>1</v>
      </c>
    </row>
    <row r="505" customFormat="false" ht="15.75" hidden="true" customHeight="true" outlineLevel="0" collapsed="false">
      <c r="A505" s="6"/>
      <c r="B505" s="7" t="s">
        <v>1468</v>
      </c>
      <c r="C505" s="7" t="s">
        <v>71</v>
      </c>
      <c r="D505" s="7" t="s">
        <v>92</v>
      </c>
      <c r="E505" s="7" t="s">
        <v>1828</v>
      </c>
      <c r="F505" s="8" t="s">
        <v>1829</v>
      </c>
      <c r="G505" s="9" t="n">
        <f aca="false">DATE(2000+VALUE(MID(F505,7,2)),VALUE(MID(F505,4,2)),VALUE(LEFT(F505,2)))</f>
        <v>45522</v>
      </c>
      <c r="H505" s="8" t="s">
        <v>1830</v>
      </c>
      <c r="I505" s="9" t="n">
        <f aca="false">DATE(2000+VALUE(MID(H505,7,2)),VALUE(MID(H505,4,2)),VALUE(LEFT(H505,2)))</f>
        <v>45524</v>
      </c>
      <c r="J505" s="9"/>
      <c r="K505" s="10" t="n">
        <v>1300000</v>
      </c>
      <c r="L505" s="10" t="n">
        <v>60000</v>
      </c>
      <c r="M505" s="10" t="n">
        <v>1360000</v>
      </c>
      <c r="N505" s="10" t="n">
        <v>0</v>
      </c>
      <c r="O505" s="10" t="n">
        <v>1360000</v>
      </c>
      <c r="P505" s="10" t="n">
        <v>0</v>
      </c>
      <c r="Q505" s="10" t="n">
        <v>0</v>
      </c>
      <c r="R505" s="10" t="n">
        <v>0</v>
      </c>
      <c r="S505" s="10" t="n">
        <v>0</v>
      </c>
      <c r="T505" s="7"/>
      <c r="U505" s="7"/>
      <c r="V505" s="7"/>
      <c r="W505" s="7" t="s">
        <v>43</v>
      </c>
      <c r="X505" s="7"/>
      <c r="Y505" s="7" t="s">
        <v>37</v>
      </c>
      <c r="Z505" s="7" t="s">
        <v>1831</v>
      </c>
      <c r="AA505" s="7"/>
      <c r="AB505" s="10" t="n">
        <v>650000</v>
      </c>
      <c r="AC505" s="10" t="n">
        <v>2</v>
      </c>
    </row>
    <row r="506" customFormat="false" ht="15.75" hidden="true" customHeight="true" outlineLevel="0" collapsed="false">
      <c r="A506" s="6"/>
      <c r="B506" s="7" t="s">
        <v>1585</v>
      </c>
      <c r="C506" s="7" t="s">
        <v>65</v>
      </c>
      <c r="D506" s="7" t="s">
        <v>96</v>
      </c>
      <c r="E506" s="7" t="s">
        <v>734</v>
      </c>
      <c r="F506" s="8" t="s">
        <v>1832</v>
      </c>
      <c r="G506" s="9" t="n">
        <f aca="false">DATE(2000+VALUE(MID(F506,7,2)),VALUE(MID(F506,4,2)),VALUE(LEFT(F506,2)))</f>
        <v>45519</v>
      </c>
      <c r="H506" s="8" t="s">
        <v>1833</v>
      </c>
      <c r="I506" s="9" t="n">
        <f aca="false">DATE(2000+VALUE(MID(H506,7,2)),VALUE(MID(H506,4,2)),VALUE(LEFT(H506,2)))</f>
        <v>45524</v>
      </c>
      <c r="J506" s="9"/>
      <c r="K506" s="10" t="n">
        <v>2500000</v>
      </c>
      <c r="L506" s="10" t="n">
        <v>0</v>
      </c>
      <c r="M506" s="10" t="n">
        <v>2500000</v>
      </c>
      <c r="N506" s="10" t="n">
        <v>0</v>
      </c>
      <c r="O506" s="10" t="n">
        <v>0</v>
      </c>
      <c r="P506" s="10" t="n">
        <v>0</v>
      </c>
      <c r="Q506" s="10" t="n">
        <v>2500000</v>
      </c>
      <c r="R506" s="10" t="n">
        <v>0</v>
      </c>
      <c r="S506" s="10" t="n">
        <v>0</v>
      </c>
      <c r="T506" s="7"/>
      <c r="U506" s="7"/>
      <c r="V506" s="7"/>
      <c r="W506" s="7" t="s">
        <v>43</v>
      </c>
      <c r="X506" s="7"/>
      <c r="Y506" s="7" t="s">
        <v>37</v>
      </c>
      <c r="Z506" s="7" t="s">
        <v>1834</v>
      </c>
      <c r="AA506" s="7"/>
      <c r="AB506" s="10" t="n">
        <v>500000</v>
      </c>
      <c r="AC506" s="10" t="n">
        <v>5</v>
      </c>
    </row>
    <row r="507" customFormat="false" ht="15.75" hidden="true" customHeight="true" outlineLevel="0" collapsed="false">
      <c r="A507" s="6"/>
      <c r="B507" s="7" t="s">
        <v>1473</v>
      </c>
      <c r="C507" s="7" t="s">
        <v>31</v>
      </c>
      <c r="D507" s="7" t="s">
        <v>39</v>
      </c>
      <c r="E507" s="7" t="s">
        <v>1835</v>
      </c>
      <c r="F507" s="8" t="s">
        <v>1836</v>
      </c>
      <c r="G507" s="9" t="n">
        <f aca="false">DATE(2000+VALUE(MID(F507,7,2)),VALUE(MID(F507,4,2)),VALUE(LEFT(F507,2)))</f>
        <v>45521</v>
      </c>
      <c r="H507" s="8" t="s">
        <v>1833</v>
      </c>
      <c r="I507" s="9" t="n">
        <f aca="false">DATE(2000+VALUE(MID(H507,7,2)),VALUE(MID(H507,4,2)),VALUE(LEFT(H507,2)))</f>
        <v>45524</v>
      </c>
      <c r="J507" s="9"/>
      <c r="K507" s="10" t="n">
        <v>2495490</v>
      </c>
      <c r="L507" s="10" t="n">
        <v>30000</v>
      </c>
      <c r="M507" s="10" t="n">
        <v>2525490</v>
      </c>
      <c r="N507" s="10" t="n">
        <v>0</v>
      </c>
      <c r="O507" s="10" t="n">
        <v>30000</v>
      </c>
      <c r="P507" s="10" t="n">
        <v>0</v>
      </c>
      <c r="Q507" s="10" t="n">
        <v>0</v>
      </c>
      <c r="R507" s="10" t="n">
        <v>2495490</v>
      </c>
      <c r="S507" s="10" t="n">
        <v>0</v>
      </c>
      <c r="T507" s="7"/>
      <c r="U507" s="7"/>
      <c r="V507" s="7"/>
      <c r="W507" s="7" t="s">
        <v>49</v>
      </c>
      <c r="X507" s="7"/>
      <c r="Y507" s="7" t="s">
        <v>37</v>
      </c>
      <c r="Z507" s="7" t="s">
        <v>1837</v>
      </c>
      <c r="AA507" s="7" t="s">
        <v>1838</v>
      </c>
      <c r="AB507" s="10" t="n">
        <v>831830</v>
      </c>
      <c r="AC507" s="10" t="n">
        <v>3</v>
      </c>
    </row>
    <row r="508" customFormat="false" ht="15.75" hidden="true" customHeight="true" outlineLevel="0" collapsed="false">
      <c r="A508" s="6"/>
      <c r="B508" s="7" t="s">
        <v>1839</v>
      </c>
      <c r="C508" s="7" t="s">
        <v>65</v>
      </c>
      <c r="D508" s="7" t="s">
        <v>156</v>
      </c>
      <c r="E508" s="7" t="s">
        <v>1840</v>
      </c>
      <c r="F508" s="8" t="s">
        <v>1841</v>
      </c>
      <c r="G508" s="9" t="n">
        <f aca="false">DATE(2000+VALUE(MID(F508,7,2)),VALUE(MID(F508,4,2)),VALUE(LEFT(F508,2)))</f>
        <v>45524</v>
      </c>
      <c r="H508" s="8" t="s">
        <v>1842</v>
      </c>
      <c r="I508" s="9" t="n">
        <f aca="false">DATE(2000+VALUE(MID(H508,7,2)),VALUE(MID(H508,4,2)),VALUE(LEFT(H508,2)))</f>
        <v>45524</v>
      </c>
      <c r="J508" s="9"/>
      <c r="K508" s="10" t="n">
        <v>350000</v>
      </c>
      <c r="L508" s="10" t="n">
        <v>15000</v>
      </c>
      <c r="M508" s="10" t="n">
        <v>365000</v>
      </c>
      <c r="N508" s="10" t="n">
        <v>0</v>
      </c>
      <c r="O508" s="10" t="n">
        <v>365000</v>
      </c>
      <c r="P508" s="10" t="n">
        <v>0</v>
      </c>
      <c r="Q508" s="10" t="n">
        <v>0</v>
      </c>
      <c r="R508" s="10" t="n">
        <v>0</v>
      </c>
      <c r="S508" s="10" t="n">
        <v>0</v>
      </c>
      <c r="T508" s="7"/>
      <c r="U508" s="7"/>
      <c r="V508" s="7"/>
      <c r="W508" s="7" t="s">
        <v>43</v>
      </c>
      <c r="X508" s="7"/>
      <c r="Y508" s="7" t="s">
        <v>37</v>
      </c>
      <c r="Z508" s="7" t="s">
        <v>1843</v>
      </c>
      <c r="AA508" s="7"/>
      <c r="AB508" s="10" t="n">
        <v>350000</v>
      </c>
      <c r="AC508" s="10" t="n">
        <v>1</v>
      </c>
    </row>
    <row r="509" customFormat="false" ht="15.75" hidden="true" customHeight="true" outlineLevel="0" collapsed="false">
      <c r="A509" s="6"/>
      <c r="B509" s="7" t="s">
        <v>1521</v>
      </c>
      <c r="C509" s="7" t="s">
        <v>71</v>
      </c>
      <c r="D509" s="7" t="s">
        <v>92</v>
      </c>
      <c r="E509" s="7" t="s">
        <v>1844</v>
      </c>
      <c r="F509" s="8" t="s">
        <v>1845</v>
      </c>
      <c r="G509" s="9" t="n">
        <f aca="false">DATE(2000+VALUE(MID(F509,7,2)),VALUE(MID(F509,4,2)),VALUE(LEFT(F509,2)))</f>
        <v>45524</v>
      </c>
      <c r="H509" s="8" t="s">
        <v>1846</v>
      </c>
      <c r="I509" s="9" t="n">
        <f aca="false">DATE(2000+VALUE(MID(H509,7,2)),VALUE(MID(H509,4,2)),VALUE(LEFT(H509,2)))</f>
        <v>45524</v>
      </c>
      <c r="J509" s="9"/>
      <c r="K509" s="10" t="n">
        <v>780000</v>
      </c>
      <c r="L509" s="10" t="n">
        <v>0</v>
      </c>
      <c r="M509" s="10" t="n">
        <v>780000</v>
      </c>
      <c r="N509" s="10" t="n">
        <v>0</v>
      </c>
      <c r="O509" s="10" t="n">
        <v>0</v>
      </c>
      <c r="P509" s="10" t="n">
        <v>0</v>
      </c>
      <c r="Q509" s="10" t="n">
        <v>780000</v>
      </c>
      <c r="R509" s="10" t="n">
        <v>0</v>
      </c>
      <c r="S509" s="10" t="n">
        <v>0</v>
      </c>
      <c r="T509" s="7"/>
      <c r="U509" s="7"/>
      <c r="V509" s="7"/>
      <c r="W509" s="7" t="s">
        <v>43</v>
      </c>
      <c r="X509" s="7"/>
      <c r="Y509" s="7" t="s">
        <v>37</v>
      </c>
      <c r="Z509" s="7" t="s">
        <v>1847</v>
      </c>
      <c r="AA509" s="7"/>
      <c r="AB509" s="10" t="n">
        <v>780000</v>
      </c>
      <c r="AC509" s="10" t="n">
        <v>1</v>
      </c>
    </row>
    <row r="510" customFormat="false" ht="15.75" hidden="true" customHeight="true" outlineLevel="0" collapsed="false">
      <c r="A510" s="6"/>
      <c r="B510" s="7" t="s">
        <v>1848</v>
      </c>
      <c r="C510" s="7" t="s">
        <v>65</v>
      </c>
      <c r="D510" s="7" t="s">
        <v>87</v>
      </c>
      <c r="E510" s="7" t="s">
        <v>1849</v>
      </c>
      <c r="F510" s="8" t="s">
        <v>1850</v>
      </c>
      <c r="G510" s="9" t="n">
        <f aca="false">DATE(2000+VALUE(MID(F510,7,2)),VALUE(MID(F510,4,2)),VALUE(LEFT(F510,2)))</f>
        <v>45524</v>
      </c>
      <c r="H510" s="8" t="s">
        <v>1851</v>
      </c>
      <c r="I510" s="9" t="n">
        <f aca="false">DATE(2000+VALUE(MID(H510,7,2)),VALUE(MID(H510,4,2)),VALUE(LEFT(H510,2)))</f>
        <v>45524</v>
      </c>
      <c r="J510" s="9"/>
      <c r="K510" s="10" t="n">
        <v>350000</v>
      </c>
      <c r="L510" s="10" t="n">
        <v>0</v>
      </c>
      <c r="M510" s="10" t="n">
        <v>350000</v>
      </c>
      <c r="N510" s="10" t="n">
        <v>0</v>
      </c>
      <c r="O510" s="10" t="n">
        <v>350000</v>
      </c>
      <c r="P510" s="10" t="n">
        <v>0</v>
      </c>
      <c r="Q510" s="10" t="n">
        <v>0</v>
      </c>
      <c r="R510" s="10" t="n">
        <v>0</v>
      </c>
      <c r="S510" s="10" t="n">
        <v>0</v>
      </c>
      <c r="T510" s="7"/>
      <c r="U510" s="7"/>
      <c r="V510" s="7"/>
      <c r="W510" s="7" t="s">
        <v>43</v>
      </c>
      <c r="X510" s="7"/>
      <c r="Y510" s="7" t="s">
        <v>37</v>
      </c>
      <c r="Z510" s="7" t="s">
        <v>1852</v>
      </c>
      <c r="AA510" s="7"/>
      <c r="AB510" s="10" t="n">
        <v>350000</v>
      </c>
      <c r="AC510" s="10" t="n">
        <v>1</v>
      </c>
    </row>
    <row r="511" customFormat="false" ht="15.75" hidden="true" customHeight="true" outlineLevel="0" collapsed="false">
      <c r="A511" s="6"/>
      <c r="B511" s="7" t="s">
        <v>1477</v>
      </c>
      <c r="C511" s="7" t="s">
        <v>31</v>
      </c>
      <c r="D511" s="7" t="s">
        <v>45</v>
      </c>
      <c r="E511" s="7" t="s">
        <v>402</v>
      </c>
      <c r="F511" s="8" t="s">
        <v>1774</v>
      </c>
      <c r="G511" s="9" t="n">
        <f aca="false">DATE(2000+VALUE(MID(F511,7,2)),VALUE(MID(F511,4,2)),VALUE(LEFT(F511,2)))</f>
        <v>45520</v>
      </c>
      <c r="H511" s="8" t="s">
        <v>1853</v>
      </c>
      <c r="I511" s="9" t="n">
        <f aca="false">DATE(2000+VALUE(MID(H511,7,2)),VALUE(MID(H511,4,2)),VALUE(LEFT(H511,2)))</f>
        <v>45524</v>
      </c>
      <c r="J511" s="9"/>
      <c r="K511" s="10" t="n">
        <v>0</v>
      </c>
      <c r="L511" s="10" t="n">
        <v>0</v>
      </c>
      <c r="M511" s="10" t="n">
        <v>0</v>
      </c>
      <c r="N511" s="10" t="n">
        <v>0</v>
      </c>
      <c r="O511" s="10" t="n">
        <v>0</v>
      </c>
      <c r="P511" s="10" t="n">
        <v>0</v>
      </c>
      <c r="Q511" s="10" t="n">
        <v>0</v>
      </c>
      <c r="R511" s="10" t="n">
        <v>0</v>
      </c>
      <c r="S511" s="10" t="n">
        <v>0</v>
      </c>
      <c r="T511" s="7"/>
      <c r="U511" s="7"/>
      <c r="V511" s="7"/>
      <c r="W511" s="7" t="s">
        <v>36</v>
      </c>
      <c r="X511" s="7"/>
      <c r="Y511" s="7" t="s">
        <v>37</v>
      </c>
      <c r="Z511" s="7" t="s">
        <v>1854</v>
      </c>
      <c r="AA511" s="7"/>
      <c r="AB511" s="10" t="n">
        <v>0</v>
      </c>
      <c r="AC511" s="10" t="n">
        <v>4</v>
      </c>
    </row>
    <row r="512" customFormat="false" ht="15.75" hidden="true" customHeight="true" outlineLevel="0" collapsed="false">
      <c r="A512" s="6"/>
      <c r="B512" s="7" t="s">
        <v>285</v>
      </c>
      <c r="C512" s="7" t="s">
        <v>31</v>
      </c>
      <c r="D512" s="7" t="s">
        <v>361</v>
      </c>
      <c r="E512" s="7" t="s">
        <v>1855</v>
      </c>
      <c r="F512" s="8" t="s">
        <v>1856</v>
      </c>
      <c r="G512" s="9" t="n">
        <f aca="false">DATE(2000+VALUE(MID(F512,7,2)),VALUE(MID(F512,4,2)),VALUE(LEFT(F512,2)))</f>
        <v>45518</v>
      </c>
      <c r="H512" s="8" t="s">
        <v>1857</v>
      </c>
      <c r="I512" s="9" t="n">
        <f aca="false">DATE(2000+VALUE(MID(H512,7,2)),VALUE(MID(H512,4,2)),VALUE(LEFT(H512,2)))</f>
        <v>45525</v>
      </c>
      <c r="J512" s="9"/>
      <c r="K512" s="10" t="n">
        <v>5975606</v>
      </c>
      <c r="L512" s="10" t="n">
        <v>0</v>
      </c>
      <c r="M512" s="10" t="n">
        <v>5975606</v>
      </c>
      <c r="N512" s="10" t="n">
        <v>0</v>
      </c>
      <c r="O512" s="10" t="n">
        <v>0</v>
      </c>
      <c r="P512" s="10" t="n">
        <v>0</v>
      </c>
      <c r="Q512" s="10" t="n">
        <v>0</v>
      </c>
      <c r="R512" s="10" t="n">
        <v>5975606</v>
      </c>
      <c r="S512" s="10" t="n">
        <v>0</v>
      </c>
      <c r="T512" s="7"/>
      <c r="U512" s="7"/>
      <c r="V512" s="7"/>
      <c r="W512" s="7" t="s">
        <v>49</v>
      </c>
      <c r="X512" s="7"/>
      <c r="Y512" s="7" t="s">
        <v>37</v>
      </c>
      <c r="Z512" s="7" t="s">
        <v>218</v>
      </c>
      <c r="AA512" s="7" t="s">
        <v>1858</v>
      </c>
      <c r="AB512" s="10" t="n">
        <v>853658</v>
      </c>
      <c r="AC512" s="10" t="n">
        <v>7</v>
      </c>
    </row>
    <row r="513" customFormat="false" ht="15.75" hidden="true" customHeight="true" outlineLevel="0" collapsed="false">
      <c r="A513" s="6"/>
      <c r="B513" s="7" t="s">
        <v>1510</v>
      </c>
      <c r="C513" s="7" t="s">
        <v>60</v>
      </c>
      <c r="D513" s="7" t="s">
        <v>164</v>
      </c>
      <c r="E513" s="7" t="s">
        <v>1346</v>
      </c>
      <c r="F513" s="8" t="s">
        <v>1859</v>
      </c>
      <c r="G513" s="9" t="n">
        <f aca="false">DATE(2000+VALUE(MID(F513,7,2)),VALUE(MID(F513,4,2)),VALUE(LEFT(F513,2)))</f>
        <v>45523</v>
      </c>
      <c r="H513" s="8" t="s">
        <v>1860</v>
      </c>
      <c r="I513" s="9" t="n">
        <f aca="false">DATE(2000+VALUE(MID(H513,7,2)),VALUE(MID(H513,4,2)),VALUE(LEFT(H513,2)))</f>
        <v>45525</v>
      </c>
      <c r="J513" s="9"/>
      <c r="K513" s="10" t="n">
        <v>1458000</v>
      </c>
      <c r="L513" s="10" t="n">
        <v>0</v>
      </c>
      <c r="M513" s="10" t="n">
        <v>1458000</v>
      </c>
      <c r="N513" s="10" t="n">
        <v>0</v>
      </c>
      <c r="O513" s="10" t="n">
        <v>598000</v>
      </c>
      <c r="P513" s="10" t="n">
        <v>0</v>
      </c>
      <c r="Q513" s="10" t="n">
        <v>860000</v>
      </c>
      <c r="R513" s="10" t="n">
        <v>0</v>
      </c>
      <c r="S513" s="10" t="n">
        <v>0</v>
      </c>
      <c r="T513" s="7"/>
      <c r="U513" s="7"/>
      <c r="V513" s="7"/>
      <c r="W513" s="7" t="s">
        <v>36</v>
      </c>
      <c r="X513" s="7"/>
      <c r="Y513" s="7" t="s">
        <v>37</v>
      </c>
      <c r="Z513" s="7" t="s">
        <v>1861</v>
      </c>
      <c r="AA513" s="7"/>
      <c r="AB513" s="10" t="n">
        <v>729000</v>
      </c>
      <c r="AC513" s="10" t="n">
        <v>2</v>
      </c>
    </row>
    <row r="514" customFormat="false" ht="15.75" hidden="true" customHeight="true" outlineLevel="0" collapsed="false">
      <c r="A514" s="6"/>
      <c r="B514" s="7" t="s">
        <v>1527</v>
      </c>
      <c r="C514" s="7" t="s">
        <v>60</v>
      </c>
      <c r="D514" s="7" t="s">
        <v>61</v>
      </c>
      <c r="E514" s="7" t="s">
        <v>1862</v>
      </c>
      <c r="F514" s="8" t="s">
        <v>1863</v>
      </c>
      <c r="G514" s="9" t="n">
        <f aca="false">DATE(2000+VALUE(MID(F514,7,2)),VALUE(MID(F514,4,2)),VALUE(LEFT(F514,2)))</f>
        <v>45525</v>
      </c>
      <c r="H514" s="8" t="s">
        <v>1864</v>
      </c>
      <c r="I514" s="9" t="n">
        <f aca="false">DATE(2000+VALUE(MID(H514,7,2)),VALUE(MID(H514,4,2)),VALUE(LEFT(H514,2)))</f>
        <v>45526</v>
      </c>
      <c r="J514" s="9"/>
      <c r="K514" s="10" t="n">
        <v>550000</v>
      </c>
      <c r="L514" s="10" t="n">
        <v>65000</v>
      </c>
      <c r="M514" s="10" t="n">
        <v>615000</v>
      </c>
      <c r="N514" s="10" t="n">
        <v>0</v>
      </c>
      <c r="O514" s="10" t="n">
        <v>0</v>
      </c>
      <c r="P514" s="10" t="n">
        <v>0</v>
      </c>
      <c r="Q514" s="10" t="n">
        <v>615000</v>
      </c>
      <c r="R514" s="10" t="n">
        <v>0</v>
      </c>
      <c r="S514" s="10" t="n">
        <v>0</v>
      </c>
      <c r="T514" s="7"/>
      <c r="U514" s="7"/>
      <c r="V514" s="7"/>
      <c r="W514" s="7" t="s">
        <v>43</v>
      </c>
      <c r="X514" s="7"/>
      <c r="Y514" s="7" t="s">
        <v>37</v>
      </c>
      <c r="Z514" s="7" t="s">
        <v>1865</v>
      </c>
      <c r="AA514" s="7"/>
      <c r="AB514" s="10" t="n">
        <v>550000</v>
      </c>
      <c r="AC514" s="10" t="n">
        <v>1</v>
      </c>
    </row>
    <row r="515" customFormat="false" ht="15.75" hidden="true" customHeight="true" outlineLevel="0" collapsed="false">
      <c r="A515" s="6"/>
      <c r="B515" s="7" t="s">
        <v>1522</v>
      </c>
      <c r="C515" s="7" t="s">
        <v>31</v>
      </c>
      <c r="D515" s="7" t="s">
        <v>105</v>
      </c>
      <c r="E515" s="7" t="s">
        <v>1866</v>
      </c>
      <c r="F515" s="8" t="s">
        <v>1867</v>
      </c>
      <c r="G515" s="9" t="n">
        <f aca="false">DATE(2000+VALUE(MID(F515,7,2)),VALUE(MID(F515,4,2)),VALUE(LEFT(F515,2)))</f>
        <v>45524</v>
      </c>
      <c r="H515" s="8" t="s">
        <v>1868</v>
      </c>
      <c r="I515" s="9" t="n">
        <f aca="false">DATE(2000+VALUE(MID(H515,7,2)),VALUE(MID(H515,4,2)),VALUE(LEFT(H515,2)))</f>
        <v>45527</v>
      </c>
      <c r="J515" s="9"/>
      <c r="K515" s="10" t="n">
        <v>2427840</v>
      </c>
      <c r="L515" s="10" t="n">
        <v>0</v>
      </c>
      <c r="M515" s="10" t="n">
        <v>2427840</v>
      </c>
      <c r="N515" s="10" t="n">
        <v>0</v>
      </c>
      <c r="O515" s="10" t="n">
        <v>0</v>
      </c>
      <c r="P515" s="10" t="n">
        <v>0</v>
      </c>
      <c r="Q515" s="10" t="n">
        <v>0</v>
      </c>
      <c r="R515" s="10" t="n">
        <v>2427840</v>
      </c>
      <c r="S515" s="10" t="n">
        <v>0</v>
      </c>
      <c r="T515" s="7"/>
      <c r="U515" s="7"/>
      <c r="V515" s="7"/>
      <c r="W515" s="7" t="s">
        <v>49</v>
      </c>
      <c r="X515" s="7"/>
      <c r="Y515" s="7" t="s">
        <v>37</v>
      </c>
      <c r="Z515" s="7" t="s">
        <v>1869</v>
      </c>
      <c r="AA515" s="7" t="s">
        <v>1870</v>
      </c>
      <c r="AB515" s="10" t="n">
        <v>809280</v>
      </c>
      <c r="AC515" s="10" t="n">
        <v>3</v>
      </c>
    </row>
    <row r="516" customFormat="false" ht="15.75" hidden="true" customHeight="true" outlineLevel="0" collapsed="false">
      <c r="A516" s="6"/>
      <c r="B516" s="7" t="s">
        <v>1535</v>
      </c>
      <c r="C516" s="7" t="s">
        <v>65</v>
      </c>
      <c r="D516" s="7" t="s">
        <v>87</v>
      </c>
      <c r="E516" s="7" t="s">
        <v>1871</v>
      </c>
      <c r="F516" s="8" t="s">
        <v>1872</v>
      </c>
      <c r="G516" s="9" t="n">
        <f aca="false">DATE(2000+VALUE(MID(F516,7,2)),VALUE(MID(F516,4,2)),VALUE(LEFT(F516,2)))</f>
        <v>45525</v>
      </c>
      <c r="H516" s="8" t="s">
        <v>1868</v>
      </c>
      <c r="I516" s="9" t="n">
        <f aca="false">DATE(2000+VALUE(MID(H516,7,2)),VALUE(MID(H516,4,2)),VALUE(LEFT(H516,2)))</f>
        <v>45527</v>
      </c>
      <c r="J516" s="9"/>
      <c r="K516" s="10" t="n">
        <v>1100000</v>
      </c>
      <c r="L516" s="10" t="n">
        <v>27500</v>
      </c>
      <c r="M516" s="10" t="n">
        <v>1127500</v>
      </c>
      <c r="N516" s="10" t="n">
        <v>0</v>
      </c>
      <c r="O516" s="10" t="n">
        <v>550000</v>
      </c>
      <c r="P516" s="10" t="n">
        <v>0</v>
      </c>
      <c r="Q516" s="10" t="n">
        <v>0</v>
      </c>
      <c r="R516" s="10" t="n">
        <v>577500</v>
      </c>
      <c r="S516" s="10" t="n">
        <v>0</v>
      </c>
      <c r="T516" s="7"/>
      <c r="U516" s="7"/>
      <c r="V516" s="7"/>
      <c r="W516" s="7" t="s">
        <v>43</v>
      </c>
      <c r="X516" s="7"/>
      <c r="Y516" s="7" t="s">
        <v>37</v>
      </c>
      <c r="Z516" s="7" t="s">
        <v>1873</v>
      </c>
      <c r="AA516" s="7"/>
      <c r="AB516" s="10" t="n">
        <v>550000</v>
      </c>
      <c r="AC516" s="10" t="n">
        <v>2</v>
      </c>
    </row>
    <row r="517" customFormat="false" ht="15.75" hidden="true" customHeight="true" outlineLevel="0" collapsed="false">
      <c r="A517" s="6"/>
      <c r="B517" s="7" t="s">
        <v>1655</v>
      </c>
      <c r="C517" s="7" t="s">
        <v>65</v>
      </c>
      <c r="D517" s="7" t="s">
        <v>66</v>
      </c>
      <c r="E517" s="7" t="s">
        <v>1874</v>
      </c>
      <c r="F517" s="8" t="s">
        <v>1875</v>
      </c>
      <c r="G517" s="9" t="n">
        <f aca="false">DATE(2000+VALUE(MID(F517,7,2)),VALUE(MID(F517,4,2)),VALUE(LEFT(F517,2)))</f>
        <v>45526</v>
      </c>
      <c r="H517" s="8" t="s">
        <v>1868</v>
      </c>
      <c r="I517" s="9" t="n">
        <f aca="false">DATE(2000+VALUE(MID(H517,7,2)),VALUE(MID(H517,4,2)),VALUE(LEFT(H517,2)))</f>
        <v>45527</v>
      </c>
      <c r="J517" s="9"/>
      <c r="K517" s="10" t="n">
        <v>549000</v>
      </c>
      <c r="L517" s="10" t="n">
        <v>0</v>
      </c>
      <c r="M517" s="10" t="n">
        <v>549000</v>
      </c>
      <c r="N517" s="10" t="n">
        <v>0</v>
      </c>
      <c r="O517" s="10" t="n">
        <v>549000</v>
      </c>
      <c r="P517" s="10" t="n">
        <v>0</v>
      </c>
      <c r="Q517" s="10" t="n">
        <v>0</v>
      </c>
      <c r="R517" s="10" t="n">
        <v>0</v>
      </c>
      <c r="S517" s="10" t="n">
        <v>0</v>
      </c>
      <c r="T517" s="7"/>
      <c r="U517" s="7"/>
      <c r="V517" s="7"/>
      <c r="W517" s="7" t="s">
        <v>43</v>
      </c>
      <c r="X517" s="7"/>
      <c r="Y517" s="7" t="s">
        <v>37</v>
      </c>
      <c r="Z517" s="7" t="s">
        <v>1876</v>
      </c>
      <c r="AA517" s="7"/>
      <c r="AB517" s="10" t="n">
        <v>549000</v>
      </c>
      <c r="AC517" s="10" t="n">
        <v>1</v>
      </c>
    </row>
    <row r="518" customFormat="false" ht="15.75" hidden="true" customHeight="true" outlineLevel="0" collapsed="false">
      <c r="A518" s="6"/>
      <c r="B518" s="7" t="s">
        <v>1633</v>
      </c>
      <c r="C518" s="7" t="s">
        <v>65</v>
      </c>
      <c r="D518" s="7" t="s">
        <v>156</v>
      </c>
      <c r="E518" s="7" t="s">
        <v>1877</v>
      </c>
      <c r="F518" s="8" t="s">
        <v>1878</v>
      </c>
      <c r="G518" s="9" t="n">
        <f aca="false">DATE(2000+VALUE(MID(F518,7,2)),VALUE(MID(F518,4,2)),VALUE(LEFT(F518,2)))</f>
        <v>45527</v>
      </c>
      <c r="H518" s="8" t="s">
        <v>1879</v>
      </c>
      <c r="I518" s="9" t="n">
        <f aca="false">DATE(2000+VALUE(MID(H518,7,2)),VALUE(MID(H518,4,2)),VALUE(LEFT(H518,2)))</f>
        <v>45527</v>
      </c>
      <c r="J518" s="9"/>
      <c r="K518" s="10" t="n">
        <v>350000</v>
      </c>
      <c r="L518" s="10" t="n">
        <v>0</v>
      </c>
      <c r="M518" s="10" t="n">
        <v>350000</v>
      </c>
      <c r="N518" s="10" t="n">
        <v>0</v>
      </c>
      <c r="O518" s="10" t="n">
        <v>350000</v>
      </c>
      <c r="P518" s="10" t="n">
        <v>0</v>
      </c>
      <c r="Q518" s="10" t="n">
        <v>0</v>
      </c>
      <c r="R518" s="10" t="n">
        <v>0</v>
      </c>
      <c r="S518" s="10" t="n">
        <v>0</v>
      </c>
      <c r="T518" s="7"/>
      <c r="U518" s="7"/>
      <c r="V518" s="7"/>
      <c r="W518" s="7" t="s">
        <v>43</v>
      </c>
      <c r="X518" s="7"/>
      <c r="Y518" s="7" t="s">
        <v>37</v>
      </c>
      <c r="Z518" s="7" t="s">
        <v>1880</v>
      </c>
      <c r="AA518" s="7"/>
      <c r="AB518" s="10" t="n">
        <v>350000</v>
      </c>
      <c r="AC518" s="10" t="n">
        <v>1</v>
      </c>
    </row>
    <row r="519" customFormat="false" ht="15.75" hidden="true" customHeight="true" outlineLevel="0" collapsed="false">
      <c r="A519" s="6"/>
      <c r="B519" s="7" t="s">
        <v>1644</v>
      </c>
      <c r="C519" s="7" t="s">
        <v>65</v>
      </c>
      <c r="D519" s="7" t="s">
        <v>82</v>
      </c>
      <c r="E519" s="7" t="s">
        <v>1881</v>
      </c>
      <c r="F519" s="8" t="s">
        <v>1882</v>
      </c>
      <c r="G519" s="9" t="n">
        <f aca="false">DATE(2000+VALUE(MID(F519,7,2)),VALUE(MID(F519,4,2)),VALUE(LEFT(F519,2)))</f>
        <v>45525</v>
      </c>
      <c r="H519" s="8" t="s">
        <v>1883</v>
      </c>
      <c r="I519" s="9" t="n">
        <f aca="false">DATE(2000+VALUE(MID(H519,7,2)),VALUE(MID(H519,4,2)),VALUE(LEFT(H519,2)))</f>
        <v>45528</v>
      </c>
      <c r="J519" s="9"/>
      <c r="K519" s="10" t="n">
        <v>1680000</v>
      </c>
      <c r="L519" s="10" t="n">
        <v>0</v>
      </c>
      <c r="M519" s="10" t="n">
        <v>1680000</v>
      </c>
      <c r="N519" s="10" t="n">
        <v>0</v>
      </c>
      <c r="O519" s="10" t="n">
        <v>0</v>
      </c>
      <c r="P519" s="10" t="n">
        <v>0</v>
      </c>
      <c r="Q519" s="10" t="n">
        <v>1680000</v>
      </c>
      <c r="R519" s="10" t="n">
        <v>0</v>
      </c>
      <c r="S519" s="10" t="n">
        <v>0</v>
      </c>
      <c r="T519" s="7"/>
      <c r="U519" s="7"/>
      <c r="V519" s="7"/>
      <c r="W519" s="7" t="s">
        <v>43</v>
      </c>
      <c r="X519" s="7"/>
      <c r="Y519" s="7" t="s">
        <v>37</v>
      </c>
      <c r="Z519" s="7" t="s">
        <v>1884</v>
      </c>
      <c r="AA519" s="7"/>
      <c r="AB519" s="10" t="n">
        <v>560000</v>
      </c>
      <c r="AC519" s="10" t="n">
        <v>3</v>
      </c>
    </row>
    <row r="520" customFormat="false" ht="15.75" hidden="true" customHeight="true" outlineLevel="0" collapsed="false">
      <c r="A520" s="6"/>
      <c r="B520" s="7" t="s">
        <v>1596</v>
      </c>
      <c r="C520" s="7" t="s">
        <v>31</v>
      </c>
      <c r="D520" s="7" t="s">
        <v>45</v>
      </c>
      <c r="E520" s="7" t="s">
        <v>1885</v>
      </c>
      <c r="F520" s="8" t="s">
        <v>1886</v>
      </c>
      <c r="G520" s="9" t="n">
        <f aca="false">DATE(2000+VALUE(MID(F520,7,2)),VALUE(MID(F520,4,2)),VALUE(LEFT(F520,2)))</f>
        <v>45525</v>
      </c>
      <c r="H520" s="8" t="s">
        <v>1887</v>
      </c>
      <c r="I520" s="9" t="n">
        <f aca="false">DATE(2000+VALUE(MID(H520,7,2)),VALUE(MID(H520,4,2)),VALUE(LEFT(H520,2)))</f>
        <v>45528</v>
      </c>
      <c r="J520" s="9"/>
      <c r="K520" s="10" t="n">
        <v>2550000</v>
      </c>
      <c r="L520" s="10" t="n">
        <v>0</v>
      </c>
      <c r="M520" s="10" t="n">
        <v>2550000</v>
      </c>
      <c r="N520" s="10" t="n">
        <v>0</v>
      </c>
      <c r="O520" s="10" t="n">
        <v>2550000</v>
      </c>
      <c r="P520" s="10" t="n">
        <v>0</v>
      </c>
      <c r="Q520" s="10" t="n">
        <v>0</v>
      </c>
      <c r="R520" s="10" t="n">
        <v>0</v>
      </c>
      <c r="S520" s="10" t="n">
        <v>0</v>
      </c>
      <c r="T520" s="7"/>
      <c r="U520" s="7"/>
      <c r="V520" s="7"/>
      <c r="W520" s="7" t="s">
        <v>43</v>
      </c>
      <c r="X520" s="7"/>
      <c r="Y520" s="7" t="s">
        <v>37</v>
      </c>
      <c r="Z520" s="7" t="s">
        <v>1888</v>
      </c>
      <c r="AA520" s="7"/>
      <c r="AB520" s="10" t="n">
        <v>850000</v>
      </c>
      <c r="AC520" s="10" t="n">
        <v>3</v>
      </c>
    </row>
    <row r="521" customFormat="false" ht="15.75" hidden="true" customHeight="true" outlineLevel="0" collapsed="false">
      <c r="A521" s="6"/>
      <c r="B521" s="7" t="s">
        <v>1542</v>
      </c>
      <c r="C521" s="7" t="s">
        <v>31</v>
      </c>
      <c r="D521" s="7" t="s">
        <v>32</v>
      </c>
      <c r="E521" s="7" t="s">
        <v>1889</v>
      </c>
      <c r="F521" s="8" t="s">
        <v>1890</v>
      </c>
      <c r="G521" s="9" t="n">
        <f aca="false">DATE(2000+VALUE(MID(F521,7,2)),VALUE(MID(F521,4,2)),VALUE(LEFT(F521,2)))</f>
        <v>45525</v>
      </c>
      <c r="H521" s="8" t="s">
        <v>1891</v>
      </c>
      <c r="I521" s="9" t="n">
        <f aca="false">DATE(2000+VALUE(MID(H521,7,2)),VALUE(MID(H521,4,2)),VALUE(LEFT(H521,2)))</f>
        <v>45528</v>
      </c>
      <c r="J521" s="9"/>
      <c r="K521" s="10" t="n">
        <v>2550000</v>
      </c>
      <c r="L521" s="10" t="n">
        <v>0</v>
      </c>
      <c r="M521" s="10" t="n">
        <v>2550000</v>
      </c>
      <c r="N521" s="10" t="n">
        <v>0</v>
      </c>
      <c r="O521" s="10" t="n">
        <v>2550000</v>
      </c>
      <c r="P521" s="10" t="n">
        <v>0</v>
      </c>
      <c r="Q521" s="10" t="n">
        <v>0</v>
      </c>
      <c r="R521" s="10" t="n">
        <v>0</v>
      </c>
      <c r="S521" s="10" t="n">
        <v>0</v>
      </c>
      <c r="T521" s="7"/>
      <c r="U521" s="7"/>
      <c r="V521" s="7"/>
      <c r="W521" s="7" t="s">
        <v>43</v>
      </c>
      <c r="X521" s="7"/>
      <c r="Y521" s="7" t="s">
        <v>37</v>
      </c>
      <c r="Z521" s="7" t="s">
        <v>1892</v>
      </c>
      <c r="AA521" s="7"/>
      <c r="AB521" s="10" t="n">
        <v>850000</v>
      </c>
      <c r="AC521" s="10" t="n">
        <v>3</v>
      </c>
    </row>
    <row r="522" customFormat="false" ht="15.75" hidden="true" customHeight="true" outlineLevel="0" collapsed="false">
      <c r="A522" s="6"/>
      <c r="B522" s="7" t="s">
        <v>1532</v>
      </c>
      <c r="C522" s="7" t="s">
        <v>60</v>
      </c>
      <c r="D522" s="7" t="s">
        <v>116</v>
      </c>
      <c r="E522" s="7" t="s">
        <v>1893</v>
      </c>
      <c r="F522" s="8" t="s">
        <v>1894</v>
      </c>
      <c r="G522" s="9" t="n">
        <f aca="false">DATE(2000+VALUE(MID(F522,7,2)),VALUE(MID(F522,4,2)),VALUE(LEFT(F522,2)))</f>
        <v>45526</v>
      </c>
      <c r="H522" s="8" t="s">
        <v>1895</v>
      </c>
      <c r="I522" s="9" t="n">
        <f aca="false">DATE(2000+VALUE(MID(H522,7,2)),VALUE(MID(H522,4,2)),VALUE(LEFT(H522,2)))</f>
        <v>45528</v>
      </c>
      <c r="J522" s="9"/>
      <c r="K522" s="10" t="n">
        <v>1300000</v>
      </c>
      <c r="L522" s="10" t="n">
        <v>40000</v>
      </c>
      <c r="M522" s="10" t="n">
        <v>1340000</v>
      </c>
      <c r="N522" s="10" t="n">
        <v>0</v>
      </c>
      <c r="O522" s="10" t="n">
        <v>0</v>
      </c>
      <c r="P522" s="10" t="n">
        <v>0</v>
      </c>
      <c r="Q522" s="10" t="n">
        <v>1340000</v>
      </c>
      <c r="R522" s="10" t="n">
        <v>0</v>
      </c>
      <c r="S522" s="10" t="n">
        <v>0</v>
      </c>
      <c r="T522" s="7"/>
      <c r="U522" s="7"/>
      <c r="V522" s="7"/>
      <c r="W522" s="7" t="s">
        <v>43</v>
      </c>
      <c r="X522" s="7"/>
      <c r="Y522" s="7" t="s">
        <v>37</v>
      </c>
      <c r="Z522" s="7" t="s">
        <v>1896</v>
      </c>
      <c r="AA522" s="7"/>
      <c r="AB522" s="10" t="n">
        <v>650000</v>
      </c>
      <c r="AC522" s="10" t="n">
        <v>2</v>
      </c>
    </row>
    <row r="523" customFormat="false" ht="15.75" hidden="true" customHeight="true" outlineLevel="0" collapsed="false">
      <c r="A523" s="6"/>
      <c r="B523" s="7" t="s">
        <v>1555</v>
      </c>
      <c r="C523" s="7" t="s">
        <v>65</v>
      </c>
      <c r="D523" s="7" t="s">
        <v>66</v>
      </c>
      <c r="E523" s="7" t="s">
        <v>1897</v>
      </c>
      <c r="F523" s="8" t="s">
        <v>1898</v>
      </c>
      <c r="G523" s="9" t="n">
        <f aca="false">DATE(2000+VALUE(MID(F523,7,2)),VALUE(MID(F523,4,2)),VALUE(LEFT(F523,2)))</f>
        <v>45528</v>
      </c>
      <c r="H523" s="8" t="s">
        <v>1895</v>
      </c>
      <c r="I523" s="9" t="n">
        <f aca="false">DATE(2000+VALUE(MID(H523,7,2)),VALUE(MID(H523,4,2)),VALUE(LEFT(H523,2)))</f>
        <v>45528</v>
      </c>
      <c r="J523" s="9"/>
      <c r="K523" s="10" t="n">
        <v>650000</v>
      </c>
      <c r="L523" s="10" t="n">
        <v>150000</v>
      </c>
      <c r="M523" s="10" t="n">
        <v>800000</v>
      </c>
      <c r="N523" s="10" t="n">
        <v>0</v>
      </c>
      <c r="O523" s="10" t="n">
        <v>150000</v>
      </c>
      <c r="P523" s="10" t="n">
        <v>0</v>
      </c>
      <c r="Q523" s="10" t="n">
        <v>650000</v>
      </c>
      <c r="R523" s="10" t="n">
        <v>0</v>
      </c>
      <c r="S523" s="10" t="n">
        <v>0</v>
      </c>
      <c r="T523" s="7"/>
      <c r="U523" s="7"/>
      <c r="V523" s="7"/>
      <c r="W523" s="7" t="s">
        <v>43</v>
      </c>
      <c r="X523" s="7"/>
      <c r="Y523" s="7" t="s">
        <v>37</v>
      </c>
      <c r="Z523" s="7" t="s">
        <v>105</v>
      </c>
      <c r="AA523" s="7"/>
      <c r="AB523" s="10" t="n">
        <v>650000</v>
      </c>
      <c r="AC523" s="10" t="n">
        <v>1</v>
      </c>
    </row>
    <row r="524" customFormat="false" ht="15.75" hidden="true" customHeight="true" outlineLevel="0" collapsed="false">
      <c r="A524" s="6"/>
      <c r="B524" s="7" t="s">
        <v>1600</v>
      </c>
      <c r="C524" s="7" t="s">
        <v>31</v>
      </c>
      <c r="D524" s="7" t="s">
        <v>32</v>
      </c>
      <c r="E524" s="7" t="s">
        <v>1899</v>
      </c>
      <c r="F524" s="8" t="s">
        <v>1900</v>
      </c>
      <c r="G524" s="9" t="n">
        <f aca="false">DATE(2000+VALUE(MID(F524,7,2)),VALUE(MID(F524,4,2)),VALUE(LEFT(F524,2)))</f>
        <v>45528</v>
      </c>
      <c r="H524" s="8" t="s">
        <v>1901</v>
      </c>
      <c r="I524" s="9" t="n">
        <f aca="false">DATE(2000+VALUE(MID(H524,7,2)),VALUE(MID(H524,4,2)),VALUE(LEFT(H524,2)))</f>
        <v>45528</v>
      </c>
      <c r="J524" s="9"/>
      <c r="K524" s="10" t="n">
        <v>450000</v>
      </c>
      <c r="L524" s="10" t="n">
        <v>0</v>
      </c>
      <c r="M524" s="10" t="n">
        <v>450000</v>
      </c>
      <c r="N524" s="10" t="n">
        <v>0</v>
      </c>
      <c r="O524" s="10" t="n">
        <v>0</v>
      </c>
      <c r="P524" s="10" t="n">
        <v>0</v>
      </c>
      <c r="Q524" s="10" t="n">
        <v>450000</v>
      </c>
      <c r="R524" s="10" t="n">
        <v>0</v>
      </c>
      <c r="S524" s="10" t="n">
        <v>0</v>
      </c>
      <c r="T524" s="7"/>
      <c r="U524" s="7"/>
      <c r="V524" s="7"/>
      <c r="W524" s="7" t="s">
        <v>43</v>
      </c>
      <c r="X524" s="7"/>
      <c r="Y524" s="7" t="s">
        <v>37</v>
      </c>
      <c r="Z524" s="7" t="s">
        <v>1902</v>
      </c>
      <c r="AA524" s="7"/>
      <c r="AB524" s="10" t="n">
        <v>450000</v>
      </c>
      <c r="AC524" s="10" t="n">
        <v>1</v>
      </c>
    </row>
    <row r="525" customFormat="false" ht="15.75" hidden="true" customHeight="true" outlineLevel="0" collapsed="false">
      <c r="A525" s="6"/>
      <c r="B525" s="7" t="s">
        <v>1501</v>
      </c>
      <c r="C525" s="7" t="s">
        <v>60</v>
      </c>
      <c r="D525" s="7" t="s">
        <v>164</v>
      </c>
      <c r="E525" s="7" t="s">
        <v>1765</v>
      </c>
      <c r="F525" s="8" t="s">
        <v>1903</v>
      </c>
      <c r="G525" s="9" t="n">
        <f aca="false">DATE(2000+VALUE(MID(F525,7,2)),VALUE(MID(F525,4,2)),VALUE(LEFT(F525,2)))</f>
        <v>45525</v>
      </c>
      <c r="H525" s="8" t="s">
        <v>1904</v>
      </c>
      <c r="I525" s="9" t="n">
        <f aca="false">DATE(2000+VALUE(MID(H525,7,2)),VALUE(MID(H525,4,2)),VALUE(LEFT(H525,2)))</f>
        <v>45529</v>
      </c>
      <c r="J525" s="9"/>
      <c r="K525" s="10" t="n">
        <v>2050000</v>
      </c>
      <c r="L525" s="10" t="n">
        <v>0</v>
      </c>
      <c r="M525" s="10" t="n">
        <v>2050000</v>
      </c>
      <c r="N525" s="10" t="n">
        <v>0</v>
      </c>
      <c r="O525" s="10" t="n">
        <v>2050000</v>
      </c>
      <c r="P525" s="10" t="n">
        <v>0</v>
      </c>
      <c r="Q525" s="10" t="n">
        <v>0</v>
      </c>
      <c r="R525" s="10" t="n">
        <v>0</v>
      </c>
      <c r="S525" s="10" t="n">
        <v>0</v>
      </c>
      <c r="T525" s="7"/>
      <c r="U525" s="7"/>
      <c r="V525" s="7"/>
      <c r="W525" s="7" t="s">
        <v>43</v>
      </c>
      <c r="X525" s="7"/>
      <c r="Y525" s="7" t="s">
        <v>37</v>
      </c>
      <c r="Z525" s="7" t="s">
        <v>1905</v>
      </c>
      <c r="AA525" s="7"/>
      <c r="AB525" s="10" t="n">
        <v>512500</v>
      </c>
      <c r="AC525" s="10" t="n">
        <v>4</v>
      </c>
    </row>
    <row r="526" customFormat="false" ht="15.75" hidden="true" customHeight="true" outlineLevel="0" collapsed="false">
      <c r="A526" s="6"/>
      <c r="B526" s="7" t="s">
        <v>72</v>
      </c>
      <c r="C526" s="7" t="s">
        <v>31</v>
      </c>
      <c r="D526" s="7" t="s">
        <v>105</v>
      </c>
      <c r="E526" s="7" t="s">
        <v>803</v>
      </c>
      <c r="F526" s="8" t="s">
        <v>1906</v>
      </c>
      <c r="G526" s="9" t="n">
        <f aca="false">DATE(2000+VALUE(MID(F526,7,2)),VALUE(MID(F526,4,2)),VALUE(LEFT(F526,2)))</f>
        <v>45527</v>
      </c>
      <c r="H526" s="8" t="s">
        <v>1904</v>
      </c>
      <c r="I526" s="9" t="n">
        <f aca="false">DATE(2000+VALUE(MID(H526,7,2)),VALUE(MID(H526,4,2)),VALUE(LEFT(H526,2)))</f>
        <v>45529</v>
      </c>
      <c r="J526" s="9"/>
      <c r="K526" s="10" t="n">
        <v>1898000</v>
      </c>
      <c r="L526" s="10" t="n">
        <v>0</v>
      </c>
      <c r="M526" s="10" t="n">
        <v>1798000</v>
      </c>
      <c r="N526" s="10" t="n">
        <v>0</v>
      </c>
      <c r="O526" s="10" t="n">
        <v>899000</v>
      </c>
      <c r="P526" s="10" t="n">
        <v>0</v>
      </c>
      <c r="Q526" s="10" t="n">
        <v>899000</v>
      </c>
      <c r="R526" s="10" t="n">
        <v>0</v>
      </c>
      <c r="S526" s="10" t="n">
        <v>0</v>
      </c>
      <c r="T526" s="7"/>
      <c r="U526" s="7"/>
      <c r="V526" s="7"/>
      <c r="W526" s="7" t="s">
        <v>43</v>
      </c>
      <c r="X526" s="7"/>
      <c r="Y526" s="7" t="s">
        <v>37</v>
      </c>
      <c r="Z526" s="7" t="s">
        <v>87</v>
      </c>
      <c r="AA526" s="7"/>
      <c r="AB526" s="10" t="n">
        <v>949000</v>
      </c>
      <c r="AC526" s="10" t="n">
        <v>2</v>
      </c>
    </row>
    <row r="527" customFormat="false" ht="15.75" hidden="true" customHeight="true" outlineLevel="0" collapsed="false">
      <c r="A527" s="6"/>
      <c r="B527" s="7" t="s">
        <v>66</v>
      </c>
      <c r="C527" s="7" t="s">
        <v>65</v>
      </c>
      <c r="D527" s="7" t="s">
        <v>87</v>
      </c>
      <c r="E527" s="7" t="s">
        <v>1907</v>
      </c>
      <c r="F527" s="8" t="s">
        <v>1908</v>
      </c>
      <c r="G527" s="9" t="n">
        <f aca="false">DATE(2000+VALUE(MID(F527,7,2)),VALUE(MID(F527,4,2)),VALUE(LEFT(F527,2)))</f>
        <v>45528</v>
      </c>
      <c r="H527" s="8" t="s">
        <v>1904</v>
      </c>
      <c r="I527" s="9" t="n">
        <f aca="false">DATE(2000+VALUE(MID(H527,7,2)),VALUE(MID(H527,4,2)),VALUE(LEFT(H527,2)))</f>
        <v>45529</v>
      </c>
      <c r="J527" s="9"/>
      <c r="K527" s="10" t="n">
        <v>549000</v>
      </c>
      <c r="L527" s="10" t="n">
        <v>0</v>
      </c>
      <c r="M527" s="10" t="n">
        <v>549000</v>
      </c>
      <c r="N527" s="10" t="n">
        <v>0</v>
      </c>
      <c r="O527" s="10" t="n">
        <v>0</v>
      </c>
      <c r="P527" s="10" t="n">
        <v>0</v>
      </c>
      <c r="Q527" s="10" t="n">
        <v>549000</v>
      </c>
      <c r="R527" s="10" t="n">
        <v>0</v>
      </c>
      <c r="S527" s="10" t="n">
        <v>0</v>
      </c>
      <c r="T527" s="7"/>
      <c r="U527" s="7"/>
      <c r="V527" s="7"/>
      <c r="W527" s="7" t="s">
        <v>43</v>
      </c>
      <c r="X527" s="7"/>
      <c r="Y527" s="7" t="s">
        <v>37</v>
      </c>
      <c r="Z527" s="7" t="s">
        <v>1909</v>
      </c>
      <c r="AA527" s="7"/>
      <c r="AB527" s="10" t="n">
        <v>549000</v>
      </c>
      <c r="AC527" s="10" t="n">
        <v>1</v>
      </c>
    </row>
    <row r="528" customFormat="false" ht="15.75" hidden="true" customHeight="true" outlineLevel="0" collapsed="false">
      <c r="A528" s="6"/>
      <c r="B528" s="7" t="s">
        <v>1629</v>
      </c>
      <c r="C528" s="7" t="s">
        <v>65</v>
      </c>
      <c r="D528" s="7" t="s">
        <v>82</v>
      </c>
      <c r="E528" s="7" t="s">
        <v>1910</v>
      </c>
      <c r="F528" s="8" t="s">
        <v>1911</v>
      </c>
      <c r="G528" s="9" t="n">
        <f aca="false">DATE(2000+VALUE(MID(F528,7,2)),VALUE(MID(F528,4,2)),VALUE(LEFT(F528,2)))</f>
        <v>45528</v>
      </c>
      <c r="H528" s="8" t="s">
        <v>1912</v>
      </c>
      <c r="I528" s="9" t="n">
        <f aca="false">DATE(2000+VALUE(MID(H528,7,2)),VALUE(MID(H528,4,2)),VALUE(LEFT(H528,2)))</f>
        <v>45529</v>
      </c>
      <c r="J528" s="9"/>
      <c r="K528" s="10" t="n">
        <v>650000</v>
      </c>
      <c r="L528" s="10" t="n">
        <v>0</v>
      </c>
      <c r="M528" s="10" t="n">
        <v>650000</v>
      </c>
      <c r="N528" s="10" t="n">
        <v>0</v>
      </c>
      <c r="O528" s="10" t="n">
        <v>0</v>
      </c>
      <c r="P528" s="10" t="n">
        <v>0</v>
      </c>
      <c r="Q528" s="10" t="n">
        <v>650000</v>
      </c>
      <c r="R528" s="10" t="n">
        <v>0</v>
      </c>
      <c r="S528" s="10" t="n">
        <v>0</v>
      </c>
      <c r="T528" s="7"/>
      <c r="U528" s="7"/>
      <c r="V528" s="7"/>
      <c r="W528" s="7" t="s">
        <v>43</v>
      </c>
      <c r="X528" s="7"/>
      <c r="Y528" s="7" t="s">
        <v>37</v>
      </c>
      <c r="Z528" s="7" t="s">
        <v>1913</v>
      </c>
      <c r="AA528" s="7"/>
      <c r="AB528" s="10" t="n">
        <v>650000</v>
      </c>
      <c r="AC528" s="10" t="n">
        <v>1</v>
      </c>
    </row>
    <row r="529" customFormat="false" ht="15.75" hidden="true" customHeight="true" outlineLevel="0" collapsed="false">
      <c r="A529" s="6"/>
      <c r="B529" s="7" t="s">
        <v>32</v>
      </c>
      <c r="C529" s="7" t="s">
        <v>65</v>
      </c>
      <c r="D529" s="7" t="s">
        <v>96</v>
      </c>
      <c r="E529" s="7" t="s">
        <v>1914</v>
      </c>
      <c r="F529" s="8" t="s">
        <v>1915</v>
      </c>
      <c r="G529" s="9" t="n">
        <f aca="false">DATE(2000+VALUE(MID(F529,7,2)),VALUE(MID(F529,4,2)),VALUE(LEFT(F529,2)))</f>
        <v>45528</v>
      </c>
      <c r="H529" s="8" t="s">
        <v>1912</v>
      </c>
      <c r="I529" s="9" t="n">
        <f aca="false">DATE(2000+VALUE(MID(H529,7,2)),VALUE(MID(H529,4,2)),VALUE(LEFT(H529,2)))</f>
        <v>45529</v>
      </c>
      <c r="J529" s="9"/>
      <c r="K529" s="10" t="n">
        <v>649000</v>
      </c>
      <c r="L529" s="10" t="n">
        <v>0</v>
      </c>
      <c r="M529" s="10" t="n">
        <v>649000</v>
      </c>
      <c r="N529" s="10" t="n">
        <v>0</v>
      </c>
      <c r="O529" s="10" t="n">
        <v>0</v>
      </c>
      <c r="P529" s="10" t="n">
        <v>0</v>
      </c>
      <c r="Q529" s="10" t="n">
        <v>649000</v>
      </c>
      <c r="R529" s="10" t="n">
        <v>0</v>
      </c>
      <c r="S529" s="10" t="n">
        <v>0</v>
      </c>
      <c r="T529" s="7"/>
      <c r="U529" s="7"/>
      <c r="V529" s="7"/>
      <c r="W529" s="7" t="s">
        <v>36</v>
      </c>
      <c r="X529" s="7"/>
      <c r="Y529" s="7" t="s">
        <v>37</v>
      </c>
      <c r="Z529" s="7" t="s">
        <v>92</v>
      </c>
      <c r="AA529" s="7"/>
      <c r="AB529" s="10" t="n">
        <v>649000</v>
      </c>
      <c r="AC529" s="10" t="n">
        <v>1</v>
      </c>
    </row>
    <row r="530" customFormat="false" ht="15.75" hidden="true" customHeight="true" outlineLevel="0" collapsed="false">
      <c r="A530" s="6"/>
      <c r="B530" s="7" t="s">
        <v>1558</v>
      </c>
      <c r="C530" s="7" t="s">
        <v>65</v>
      </c>
      <c r="D530" s="7" t="s">
        <v>66</v>
      </c>
      <c r="E530" s="7" t="s">
        <v>1916</v>
      </c>
      <c r="F530" s="8" t="s">
        <v>1917</v>
      </c>
      <c r="G530" s="9" t="n">
        <f aca="false">DATE(2000+VALUE(MID(F530,7,2)),VALUE(MID(F530,4,2)),VALUE(LEFT(F530,2)))</f>
        <v>45528</v>
      </c>
      <c r="H530" s="8" t="s">
        <v>1918</v>
      </c>
      <c r="I530" s="9" t="n">
        <f aca="false">DATE(2000+VALUE(MID(H530,7,2)),VALUE(MID(H530,4,2)),VALUE(LEFT(H530,2)))</f>
        <v>45529</v>
      </c>
      <c r="J530" s="9"/>
      <c r="K530" s="10" t="n">
        <v>549000</v>
      </c>
      <c r="L530" s="10" t="n">
        <v>0</v>
      </c>
      <c r="M530" s="10" t="n">
        <v>549000</v>
      </c>
      <c r="N530" s="10" t="n">
        <v>0</v>
      </c>
      <c r="O530" s="10" t="n">
        <v>249000</v>
      </c>
      <c r="P530" s="10" t="n">
        <v>0</v>
      </c>
      <c r="Q530" s="10" t="n">
        <v>300000</v>
      </c>
      <c r="R530" s="10" t="n">
        <v>0</v>
      </c>
      <c r="S530" s="10" t="n">
        <v>0</v>
      </c>
      <c r="T530" s="7"/>
      <c r="U530" s="7"/>
      <c r="V530" s="7"/>
      <c r="W530" s="7" t="s">
        <v>43</v>
      </c>
      <c r="X530" s="7"/>
      <c r="Y530" s="7" t="s">
        <v>37</v>
      </c>
      <c r="Z530" s="7" t="s">
        <v>1919</v>
      </c>
      <c r="AA530" s="7"/>
      <c r="AB530" s="10" t="n">
        <v>549000</v>
      </c>
      <c r="AC530" s="10" t="n">
        <v>1</v>
      </c>
    </row>
    <row r="531" customFormat="false" ht="15.75" hidden="true" customHeight="true" outlineLevel="0" collapsed="false">
      <c r="A531" s="6"/>
      <c r="B531" s="7" t="s">
        <v>1608</v>
      </c>
      <c r="C531" s="7" t="s">
        <v>65</v>
      </c>
      <c r="D531" s="7" t="s">
        <v>76</v>
      </c>
      <c r="E531" s="7" t="s">
        <v>1920</v>
      </c>
      <c r="F531" s="8" t="s">
        <v>1921</v>
      </c>
      <c r="G531" s="9" t="n">
        <f aca="false">DATE(2000+VALUE(MID(F531,7,2)),VALUE(MID(F531,4,2)),VALUE(LEFT(F531,2)))</f>
        <v>45528</v>
      </c>
      <c r="H531" s="8" t="s">
        <v>1922</v>
      </c>
      <c r="I531" s="9" t="n">
        <f aca="false">DATE(2000+VALUE(MID(H531,7,2)),VALUE(MID(H531,4,2)),VALUE(LEFT(H531,2)))</f>
        <v>45529</v>
      </c>
      <c r="J531" s="9"/>
      <c r="K531" s="10" t="n">
        <v>550000</v>
      </c>
      <c r="L531" s="10" t="n">
        <v>0</v>
      </c>
      <c r="M531" s="10" t="n">
        <v>550000</v>
      </c>
      <c r="N531" s="10" t="n">
        <v>0</v>
      </c>
      <c r="O531" s="10" t="n">
        <v>550000</v>
      </c>
      <c r="P531" s="10" t="n">
        <v>0</v>
      </c>
      <c r="Q531" s="10" t="n">
        <v>0</v>
      </c>
      <c r="R531" s="10" t="n">
        <v>0</v>
      </c>
      <c r="S531" s="10" t="n">
        <v>0</v>
      </c>
      <c r="T531" s="7"/>
      <c r="U531" s="7"/>
      <c r="V531" s="7"/>
      <c r="W531" s="7" t="s">
        <v>43</v>
      </c>
      <c r="X531" s="7"/>
      <c r="Y531" s="7" t="s">
        <v>37</v>
      </c>
      <c r="Z531" s="7" t="s">
        <v>1923</v>
      </c>
      <c r="AA531" s="7"/>
      <c r="AB531" s="10" t="n">
        <v>550000</v>
      </c>
      <c r="AC531" s="10" t="n">
        <v>1</v>
      </c>
    </row>
    <row r="532" customFormat="false" ht="15.75" hidden="true" customHeight="true" outlineLevel="0" collapsed="false">
      <c r="A532" s="6"/>
      <c r="B532" s="7" t="s">
        <v>1608</v>
      </c>
      <c r="C532" s="7" t="s">
        <v>60</v>
      </c>
      <c r="D532" s="7" t="s">
        <v>116</v>
      </c>
      <c r="E532" s="7" t="s">
        <v>202</v>
      </c>
      <c r="F532" s="8" t="s">
        <v>1921</v>
      </c>
      <c r="G532" s="9" t="n">
        <f aca="false">DATE(2000+VALUE(MID(F532,7,2)),VALUE(MID(F532,4,2)),VALUE(LEFT(F532,2)))</f>
        <v>45528</v>
      </c>
      <c r="H532" s="8" t="s">
        <v>1922</v>
      </c>
      <c r="I532" s="9" t="n">
        <f aca="false">DATE(2000+VALUE(MID(H532,7,2)),VALUE(MID(H532,4,2)),VALUE(LEFT(H532,2)))</f>
        <v>45529</v>
      </c>
      <c r="J532" s="9"/>
      <c r="K532" s="10" t="n">
        <v>550000</v>
      </c>
      <c r="L532" s="10" t="n">
        <v>15000</v>
      </c>
      <c r="M532" s="10" t="n">
        <v>565000</v>
      </c>
      <c r="N532" s="10" t="n">
        <v>0</v>
      </c>
      <c r="O532" s="10" t="n">
        <v>565000</v>
      </c>
      <c r="P532" s="10" t="n">
        <v>0</v>
      </c>
      <c r="Q532" s="10" t="n">
        <v>0</v>
      </c>
      <c r="R532" s="10" t="n">
        <v>0</v>
      </c>
      <c r="S532" s="10" t="n">
        <v>0</v>
      </c>
      <c r="T532" s="7"/>
      <c r="U532" s="7"/>
      <c r="V532" s="7"/>
      <c r="W532" s="7" t="s">
        <v>43</v>
      </c>
      <c r="X532" s="7"/>
      <c r="Y532" s="7" t="s">
        <v>37</v>
      </c>
      <c r="Z532" s="7" t="s">
        <v>1924</v>
      </c>
      <c r="AA532" s="7"/>
      <c r="AB532" s="10" t="n">
        <v>550000</v>
      </c>
      <c r="AC532" s="10" t="n">
        <v>1</v>
      </c>
    </row>
    <row r="533" customFormat="false" ht="15.75" hidden="true" customHeight="true" outlineLevel="0" collapsed="false">
      <c r="A533" s="6"/>
      <c r="B533" s="7" t="s">
        <v>1568</v>
      </c>
      <c r="C533" s="7" t="s">
        <v>65</v>
      </c>
      <c r="D533" s="7" t="s">
        <v>156</v>
      </c>
      <c r="E533" s="7" t="s">
        <v>1925</v>
      </c>
      <c r="F533" s="8" t="s">
        <v>1926</v>
      </c>
      <c r="G533" s="9" t="n">
        <f aca="false">DATE(2000+VALUE(MID(F533,7,2)),VALUE(MID(F533,4,2)),VALUE(LEFT(F533,2)))</f>
        <v>45528</v>
      </c>
      <c r="H533" s="8" t="s">
        <v>1927</v>
      </c>
      <c r="I533" s="9" t="n">
        <f aca="false">DATE(2000+VALUE(MID(H533,7,2)),VALUE(MID(H533,4,2)),VALUE(LEFT(H533,2)))</f>
        <v>45530</v>
      </c>
      <c r="J533" s="9"/>
      <c r="K533" s="10" t="n">
        <v>1100000</v>
      </c>
      <c r="L533" s="10" t="n">
        <v>0</v>
      </c>
      <c r="M533" s="10" t="n">
        <v>1100000</v>
      </c>
      <c r="N533" s="10" t="n">
        <v>0</v>
      </c>
      <c r="O533" s="10" t="n">
        <v>1100000</v>
      </c>
      <c r="P533" s="10" t="n">
        <v>0</v>
      </c>
      <c r="Q533" s="10" t="n">
        <v>0</v>
      </c>
      <c r="R533" s="10" t="n">
        <v>0</v>
      </c>
      <c r="S533" s="10" t="n">
        <v>0</v>
      </c>
      <c r="T533" s="7"/>
      <c r="U533" s="7"/>
      <c r="V533" s="7"/>
      <c r="W533" s="7" t="s">
        <v>43</v>
      </c>
      <c r="X533" s="7"/>
      <c r="Y533" s="7" t="s">
        <v>37</v>
      </c>
      <c r="Z533" s="7" t="s">
        <v>1928</v>
      </c>
      <c r="AA533" s="7"/>
      <c r="AB533" s="10" t="n">
        <v>550000</v>
      </c>
      <c r="AC533" s="10" t="n">
        <v>2</v>
      </c>
    </row>
    <row r="534" customFormat="false" ht="15.75" hidden="true" customHeight="true" outlineLevel="0" collapsed="false">
      <c r="A534" s="6"/>
      <c r="B534" s="7" t="s">
        <v>1615</v>
      </c>
      <c r="C534" s="7" t="s">
        <v>65</v>
      </c>
      <c r="D534" s="7" t="s">
        <v>82</v>
      </c>
      <c r="E534" s="7" t="s">
        <v>1929</v>
      </c>
      <c r="F534" s="8" t="s">
        <v>1930</v>
      </c>
      <c r="G534" s="9" t="n">
        <f aca="false">DATE(2000+VALUE(MID(F534,7,2)),VALUE(MID(F534,4,2)),VALUE(LEFT(F534,2)))</f>
        <v>45529</v>
      </c>
      <c r="H534" s="8" t="s">
        <v>1927</v>
      </c>
      <c r="I534" s="9" t="n">
        <f aca="false">DATE(2000+VALUE(MID(H534,7,2)),VALUE(MID(H534,4,2)),VALUE(LEFT(H534,2)))</f>
        <v>45530</v>
      </c>
      <c r="J534" s="9"/>
      <c r="K534" s="10" t="n">
        <v>520000</v>
      </c>
      <c r="L534" s="10" t="n">
        <v>0</v>
      </c>
      <c r="M534" s="10" t="n">
        <v>520000</v>
      </c>
      <c r="N534" s="10" t="n">
        <v>0</v>
      </c>
      <c r="O534" s="10" t="n">
        <v>0</v>
      </c>
      <c r="P534" s="10" t="n">
        <v>0</v>
      </c>
      <c r="Q534" s="10" t="n">
        <v>520000</v>
      </c>
      <c r="R534" s="10" t="n">
        <v>0</v>
      </c>
      <c r="S534" s="10" t="n">
        <v>0</v>
      </c>
      <c r="T534" s="7"/>
      <c r="U534" s="7"/>
      <c r="V534" s="7"/>
      <c r="W534" s="7" t="s">
        <v>43</v>
      </c>
      <c r="X534" s="7"/>
      <c r="Y534" s="7" t="s">
        <v>37</v>
      </c>
      <c r="Z534" s="7" t="s">
        <v>1931</v>
      </c>
      <c r="AA534" s="7"/>
      <c r="AB534" s="10" t="n">
        <v>520000</v>
      </c>
      <c r="AC534" s="10" t="n">
        <v>1</v>
      </c>
    </row>
    <row r="535" customFormat="false" ht="15.75" hidden="true" customHeight="true" outlineLevel="0" collapsed="false">
      <c r="A535" s="6"/>
      <c r="B535" s="7" t="s">
        <v>1589</v>
      </c>
      <c r="C535" s="7" t="s">
        <v>65</v>
      </c>
      <c r="D535" s="7" t="s">
        <v>87</v>
      </c>
      <c r="E535" s="7" t="s">
        <v>1932</v>
      </c>
      <c r="F535" s="8" t="s">
        <v>1933</v>
      </c>
      <c r="G535" s="9" t="n">
        <f aca="false">DATE(2000+VALUE(MID(F535,7,2)),VALUE(MID(F535,4,2)),VALUE(LEFT(F535,2)))</f>
        <v>45529</v>
      </c>
      <c r="H535" s="8" t="s">
        <v>1934</v>
      </c>
      <c r="I535" s="9" t="n">
        <f aca="false">DATE(2000+VALUE(MID(H535,7,2)),VALUE(MID(H535,4,2)),VALUE(LEFT(H535,2)))</f>
        <v>45530</v>
      </c>
      <c r="J535" s="9"/>
      <c r="K535" s="10" t="n">
        <v>500000</v>
      </c>
      <c r="L535" s="10" t="n">
        <v>0</v>
      </c>
      <c r="M535" s="10" t="n">
        <v>500000</v>
      </c>
      <c r="N535" s="10" t="n">
        <v>0</v>
      </c>
      <c r="O535" s="10" t="n">
        <v>500000</v>
      </c>
      <c r="P535" s="10" t="n">
        <v>0</v>
      </c>
      <c r="Q535" s="10" t="n">
        <v>0</v>
      </c>
      <c r="R535" s="10" t="n">
        <v>0</v>
      </c>
      <c r="S535" s="10" t="n">
        <v>0</v>
      </c>
      <c r="T535" s="7"/>
      <c r="U535" s="7"/>
      <c r="V535" s="7"/>
      <c r="W535" s="7" t="s">
        <v>36</v>
      </c>
      <c r="X535" s="7"/>
      <c r="Y535" s="7" t="s">
        <v>37</v>
      </c>
      <c r="Z535" s="7" t="s">
        <v>1935</v>
      </c>
      <c r="AA535" s="7"/>
      <c r="AB535" s="10" t="n">
        <v>500000</v>
      </c>
      <c r="AC535" s="10" t="n">
        <v>1</v>
      </c>
    </row>
    <row r="536" customFormat="false" ht="15.75" hidden="true" customHeight="true" outlineLevel="0" collapsed="false">
      <c r="A536" s="6"/>
      <c r="B536" s="7" t="s">
        <v>1454</v>
      </c>
      <c r="C536" s="7" t="s">
        <v>71</v>
      </c>
      <c r="D536" s="7" t="s">
        <v>72</v>
      </c>
      <c r="E536" s="7" t="s">
        <v>1936</v>
      </c>
      <c r="F536" s="8" t="s">
        <v>1937</v>
      </c>
      <c r="G536" s="9" t="n">
        <f aca="false">DATE(2000+VALUE(MID(F536,7,2)),VALUE(MID(F536,4,2)),VALUE(LEFT(F536,2)))</f>
        <v>45520</v>
      </c>
      <c r="H536" s="8" t="s">
        <v>1938</v>
      </c>
      <c r="I536" s="9" t="n">
        <f aca="false">DATE(2000+VALUE(MID(H536,7,2)),VALUE(MID(H536,4,2)),VALUE(LEFT(H536,2)))</f>
        <v>45530</v>
      </c>
      <c r="J536" s="9"/>
      <c r="K536" s="10" t="n">
        <v>5500000</v>
      </c>
      <c r="L536" s="10" t="n">
        <v>0</v>
      </c>
      <c r="M536" s="10" t="n">
        <v>5500000</v>
      </c>
      <c r="N536" s="10" t="n">
        <v>0</v>
      </c>
      <c r="O536" s="10" t="n">
        <v>0</v>
      </c>
      <c r="P536" s="10" t="n">
        <v>0</v>
      </c>
      <c r="Q536" s="10" t="n">
        <v>5500000</v>
      </c>
      <c r="R536" s="10" t="n">
        <v>0</v>
      </c>
      <c r="S536" s="10" t="n">
        <v>0</v>
      </c>
      <c r="T536" s="7"/>
      <c r="U536" s="7"/>
      <c r="V536" s="7"/>
      <c r="W536" s="7" t="s">
        <v>43</v>
      </c>
      <c r="X536" s="7"/>
      <c r="Y536" s="7" t="s">
        <v>37</v>
      </c>
      <c r="Z536" s="7" t="s">
        <v>1939</v>
      </c>
      <c r="AA536" s="7"/>
      <c r="AB536" s="10" t="n">
        <v>550000</v>
      </c>
      <c r="AC536" s="10" t="n">
        <v>10</v>
      </c>
    </row>
    <row r="537" customFormat="false" ht="15.75" hidden="true" customHeight="true" outlineLevel="0" collapsed="false">
      <c r="A537" s="6"/>
      <c r="B537" s="7" t="s">
        <v>1625</v>
      </c>
      <c r="C537" s="7" t="s">
        <v>71</v>
      </c>
      <c r="D537" s="7" t="s">
        <v>92</v>
      </c>
      <c r="E537" s="7" t="s">
        <v>1940</v>
      </c>
      <c r="F537" s="8" t="s">
        <v>1941</v>
      </c>
      <c r="G537" s="9" t="n">
        <f aca="false">DATE(2000+VALUE(MID(F537,7,2)),VALUE(MID(F537,4,2)),VALUE(LEFT(F537,2)))</f>
        <v>45529</v>
      </c>
      <c r="H537" s="8" t="s">
        <v>1942</v>
      </c>
      <c r="I537" s="9" t="n">
        <f aca="false">DATE(2000+VALUE(MID(H537,7,2)),VALUE(MID(H537,4,2)),VALUE(LEFT(H537,2)))</f>
        <v>45530</v>
      </c>
      <c r="J537" s="9"/>
      <c r="K537" s="10" t="n">
        <v>1050000</v>
      </c>
      <c r="L537" s="10" t="n">
        <v>0</v>
      </c>
      <c r="M537" s="10" t="n">
        <v>1050000</v>
      </c>
      <c r="N537" s="10" t="n">
        <v>0</v>
      </c>
      <c r="O537" s="10" t="n">
        <v>-200000</v>
      </c>
      <c r="P537" s="10" t="n">
        <v>0</v>
      </c>
      <c r="Q537" s="10" t="n">
        <v>1250000</v>
      </c>
      <c r="R537" s="10" t="n">
        <v>0</v>
      </c>
      <c r="S537" s="10" t="n">
        <v>0</v>
      </c>
      <c r="T537" s="7"/>
      <c r="U537" s="7"/>
      <c r="V537" s="7"/>
      <c r="W537" s="7" t="s">
        <v>36</v>
      </c>
      <c r="X537" s="7"/>
      <c r="Y537" s="7" t="s">
        <v>37</v>
      </c>
      <c r="Z537" s="7" t="s">
        <v>1943</v>
      </c>
      <c r="AA537" s="7"/>
      <c r="AB537" s="10" t="n">
        <v>1050000</v>
      </c>
      <c r="AC537" s="10" t="n">
        <v>1</v>
      </c>
    </row>
    <row r="538" customFormat="false" ht="15.75" hidden="true" customHeight="true" outlineLevel="0" collapsed="false">
      <c r="A538" s="6"/>
      <c r="B538" s="7" t="s">
        <v>1944</v>
      </c>
      <c r="C538" s="7" t="s">
        <v>60</v>
      </c>
      <c r="D538" s="7" t="s">
        <v>61</v>
      </c>
      <c r="E538" s="7" t="s">
        <v>1945</v>
      </c>
      <c r="F538" s="8" t="s">
        <v>1946</v>
      </c>
      <c r="G538" s="9" t="n">
        <f aca="false">DATE(2000+VALUE(MID(F538,7,2)),VALUE(MID(F538,4,2)),VALUE(LEFT(F538,2)))</f>
        <v>45526</v>
      </c>
      <c r="H538" s="8" t="s">
        <v>1947</v>
      </c>
      <c r="I538" s="9" t="n">
        <f aca="false">DATE(2000+VALUE(MID(H538,7,2)),VALUE(MID(H538,4,2)),VALUE(LEFT(H538,2)))</f>
        <v>45530</v>
      </c>
      <c r="J538" s="9"/>
      <c r="K538" s="10" t="n">
        <v>1994972</v>
      </c>
      <c r="L538" s="10" t="n">
        <v>0</v>
      </c>
      <c r="M538" s="10" t="n">
        <v>1994972</v>
      </c>
      <c r="N538" s="10" t="n">
        <v>0</v>
      </c>
      <c r="O538" s="10" t="n">
        <v>0</v>
      </c>
      <c r="P538" s="10" t="n">
        <v>0</v>
      </c>
      <c r="Q538" s="10" t="n">
        <v>0</v>
      </c>
      <c r="R538" s="10" t="n">
        <v>1994972</v>
      </c>
      <c r="S538" s="10" t="n">
        <v>0</v>
      </c>
      <c r="T538" s="7"/>
      <c r="U538" s="7"/>
      <c r="V538" s="7"/>
      <c r="W538" s="7" t="s">
        <v>49</v>
      </c>
      <c r="X538" s="7"/>
      <c r="Y538" s="7" t="s">
        <v>37</v>
      </c>
      <c r="Z538" s="7" t="s">
        <v>1948</v>
      </c>
      <c r="AA538" s="7" t="s">
        <v>1949</v>
      </c>
      <c r="AB538" s="10" t="n">
        <v>498743</v>
      </c>
      <c r="AC538" s="10" t="n">
        <v>4</v>
      </c>
    </row>
    <row r="539" customFormat="false" ht="15.75" hidden="true" customHeight="true" outlineLevel="0" collapsed="false">
      <c r="A539" s="6"/>
      <c r="B539" s="7" t="s">
        <v>1751</v>
      </c>
      <c r="C539" s="7" t="s">
        <v>31</v>
      </c>
      <c r="D539" s="7" t="s">
        <v>105</v>
      </c>
      <c r="E539" s="7" t="s">
        <v>1950</v>
      </c>
      <c r="F539" s="8" t="s">
        <v>1951</v>
      </c>
      <c r="G539" s="9" t="n">
        <f aca="false">DATE(2000+VALUE(MID(F539,7,2)),VALUE(MID(F539,4,2)),VALUE(LEFT(F539,2)))</f>
        <v>45530</v>
      </c>
      <c r="H539" s="8" t="s">
        <v>1952</v>
      </c>
      <c r="I539" s="9" t="n">
        <f aca="false">DATE(2000+VALUE(MID(H539,7,2)),VALUE(MID(H539,4,2)),VALUE(LEFT(H539,2)))</f>
        <v>45530</v>
      </c>
      <c r="J539" s="9"/>
      <c r="K539" s="10" t="n">
        <v>350000</v>
      </c>
      <c r="L539" s="10" t="n">
        <v>0</v>
      </c>
      <c r="M539" s="10" t="n">
        <v>350000</v>
      </c>
      <c r="N539" s="10" t="n">
        <v>0</v>
      </c>
      <c r="O539" s="10" t="n">
        <v>350000</v>
      </c>
      <c r="P539" s="10" t="n">
        <v>0</v>
      </c>
      <c r="Q539" s="10" t="n">
        <v>0</v>
      </c>
      <c r="R539" s="10" t="n">
        <v>0</v>
      </c>
      <c r="S539" s="10" t="n">
        <v>0</v>
      </c>
      <c r="T539" s="7"/>
      <c r="U539" s="7"/>
      <c r="V539" s="7"/>
      <c r="W539" s="7" t="s">
        <v>43</v>
      </c>
      <c r="X539" s="7"/>
      <c r="Y539" s="7" t="s">
        <v>37</v>
      </c>
      <c r="Z539" s="7" t="s">
        <v>1953</v>
      </c>
      <c r="AA539" s="7"/>
      <c r="AB539" s="10" t="n">
        <v>350000</v>
      </c>
      <c r="AC539" s="10" t="n">
        <v>1</v>
      </c>
    </row>
    <row r="540" customFormat="false" ht="15.75" hidden="true" customHeight="true" outlineLevel="0" collapsed="false">
      <c r="A540" s="6"/>
      <c r="B540" s="7" t="s">
        <v>1637</v>
      </c>
      <c r="C540" s="7" t="s">
        <v>65</v>
      </c>
      <c r="D540" s="7" t="s">
        <v>87</v>
      </c>
      <c r="E540" s="7" t="s">
        <v>330</v>
      </c>
      <c r="F540" s="8" t="s">
        <v>1954</v>
      </c>
      <c r="G540" s="9" t="n">
        <f aca="false">DATE(2000+VALUE(MID(F540,7,2)),VALUE(MID(F540,4,2)),VALUE(LEFT(F540,2)))</f>
        <v>45530</v>
      </c>
      <c r="H540" s="8" t="s">
        <v>1955</v>
      </c>
      <c r="I540" s="9" t="n">
        <f aca="false">DATE(2000+VALUE(MID(H540,7,2)),VALUE(MID(H540,4,2)),VALUE(LEFT(H540,2)))</f>
        <v>45531</v>
      </c>
      <c r="J540" s="9"/>
      <c r="K540" s="10" t="n">
        <v>500000</v>
      </c>
      <c r="L540" s="10" t="n">
        <v>0</v>
      </c>
      <c r="M540" s="10" t="n">
        <v>500000</v>
      </c>
      <c r="N540" s="10" t="n">
        <v>0</v>
      </c>
      <c r="O540" s="10" t="n">
        <v>500000</v>
      </c>
      <c r="P540" s="10" t="n">
        <v>0</v>
      </c>
      <c r="Q540" s="10" t="n">
        <v>0</v>
      </c>
      <c r="R540" s="10" t="n">
        <v>0</v>
      </c>
      <c r="S540" s="10" t="n">
        <v>0</v>
      </c>
      <c r="T540" s="7"/>
      <c r="U540" s="7"/>
      <c r="V540" s="7"/>
      <c r="W540" s="7" t="s">
        <v>43</v>
      </c>
      <c r="X540" s="7"/>
      <c r="Y540" s="7" t="s">
        <v>37</v>
      </c>
      <c r="Z540" s="7" t="s">
        <v>1956</v>
      </c>
      <c r="AA540" s="7"/>
      <c r="AB540" s="10" t="n">
        <v>500000</v>
      </c>
      <c r="AC540" s="10" t="n">
        <v>1</v>
      </c>
    </row>
    <row r="541" customFormat="false" ht="15.75" hidden="true" customHeight="true" outlineLevel="0" collapsed="false">
      <c r="A541" s="6"/>
      <c r="B541" s="7" t="s">
        <v>1666</v>
      </c>
      <c r="C541" s="7" t="s">
        <v>60</v>
      </c>
      <c r="D541" s="7" t="s">
        <v>173</v>
      </c>
      <c r="E541" s="7" t="s">
        <v>402</v>
      </c>
      <c r="F541" s="8" t="s">
        <v>1957</v>
      </c>
      <c r="G541" s="9" t="n">
        <f aca="false">DATE(2000+VALUE(MID(F541,7,2)),VALUE(MID(F541,4,2)),VALUE(LEFT(F541,2)))</f>
        <v>45529</v>
      </c>
      <c r="H541" s="8" t="s">
        <v>1958</v>
      </c>
      <c r="I541" s="9" t="n">
        <f aca="false">DATE(2000+VALUE(MID(H541,7,2)),VALUE(MID(H541,4,2)),VALUE(LEFT(H541,2)))</f>
        <v>45531</v>
      </c>
      <c r="J541" s="9"/>
      <c r="K541" s="10" t="n">
        <v>0</v>
      </c>
      <c r="L541" s="10" t="n">
        <v>0</v>
      </c>
      <c r="M541" s="10" t="n">
        <v>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  <c r="S541" s="10" t="n">
        <v>0</v>
      </c>
      <c r="T541" s="7"/>
      <c r="U541" s="7"/>
      <c r="V541" s="7"/>
      <c r="W541" s="7" t="s">
        <v>36</v>
      </c>
      <c r="X541" s="7"/>
      <c r="Y541" s="7" t="s">
        <v>37</v>
      </c>
      <c r="Z541" s="7" t="s">
        <v>1959</v>
      </c>
      <c r="AA541" s="7"/>
      <c r="AB541" s="10" t="n">
        <v>0</v>
      </c>
      <c r="AC541" s="10" t="n">
        <v>2</v>
      </c>
    </row>
    <row r="542" customFormat="false" ht="15.75" hidden="true" customHeight="true" outlineLevel="0" collapsed="false">
      <c r="A542" s="6"/>
      <c r="B542" s="7" t="s">
        <v>1960</v>
      </c>
      <c r="C542" s="7" t="s">
        <v>60</v>
      </c>
      <c r="D542" s="7" t="s">
        <v>61</v>
      </c>
      <c r="E542" s="7" t="s">
        <v>1961</v>
      </c>
      <c r="F542" s="8" t="s">
        <v>1962</v>
      </c>
      <c r="G542" s="9" t="n">
        <f aca="false">DATE(2000+VALUE(MID(F542,7,2)),VALUE(MID(F542,4,2)),VALUE(LEFT(F542,2)))</f>
        <v>45531</v>
      </c>
      <c r="H542" s="8" t="s">
        <v>1963</v>
      </c>
      <c r="I542" s="9" t="n">
        <f aca="false">DATE(2000+VALUE(MID(H542,7,2)),VALUE(MID(H542,4,2)),VALUE(LEFT(H542,2)))</f>
        <v>45532</v>
      </c>
      <c r="J542" s="9"/>
      <c r="K542" s="10" t="n">
        <v>600000</v>
      </c>
      <c r="L542" s="10" t="n">
        <v>0</v>
      </c>
      <c r="M542" s="10" t="n">
        <v>600000</v>
      </c>
      <c r="N542" s="10" t="n">
        <v>0</v>
      </c>
      <c r="O542" s="10" t="n">
        <v>600000</v>
      </c>
      <c r="P542" s="10" t="n">
        <v>0</v>
      </c>
      <c r="Q542" s="10" t="n">
        <v>0</v>
      </c>
      <c r="R542" s="10" t="n">
        <v>0</v>
      </c>
      <c r="S542" s="10" t="n">
        <v>0</v>
      </c>
      <c r="T542" s="7"/>
      <c r="U542" s="7"/>
      <c r="V542" s="7"/>
      <c r="W542" s="7" t="s">
        <v>43</v>
      </c>
      <c r="X542" s="7"/>
      <c r="Y542" s="7" t="s">
        <v>37</v>
      </c>
      <c r="Z542" s="7" t="s">
        <v>1964</v>
      </c>
      <c r="AA542" s="7"/>
      <c r="AB542" s="10" t="n">
        <v>600000</v>
      </c>
      <c r="AC542" s="10" t="n">
        <v>1</v>
      </c>
    </row>
    <row r="543" customFormat="false" ht="15.75" hidden="true" customHeight="true" outlineLevel="0" collapsed="false">
      <c r="A543" s="6"/>
      <c r="B543" s="7" t="s">
        <v>1648</v>
      </c>
      <c r="C543" s="7" t="s">
        <v>71</v>
      </c>
      <c r="D543" s="7" t="s">
        <v>92</v>
      </c>
      <c r="E543" s="7" t="s">
        <v>1965</v>
      </c>
      <c r="F543" s="8" t="s">
        <v>1966</v>
      </c>
      <c r="G543" s="9" t="n">
        <f aca="false">DATE(2000+VALUE(MID(F543,7,2)),VALUE(MID(F543,4,2)),VALUE(LEFT(F543,2)))</f>
        <v>45530</v>
      </c>
      <c r="H543" s="8" t="s">
        <v>1963</v>
      </c>
      <c r="I543" s="9" t="n">
        <f aca="false">DATE(2000+VALUE(MID(H543,7,2)),VALUE(MID(H543,4,2)),VALUE(LEFT(H543,2)))</f>
        <v>45532</v>
      </c>
      <c r="J543" s="9"/>
      <c r="K543" s="10" t="n">
        <v>1254964</v>
      </c>
      <c r="L543" s="10" t="n">
        <v>0</v>
      </c>
      <c r="M543" s="10" t="n">
        <v>1254964</v>
      </c>
      <c r="N543" s="10" t="n">
        <v>0</v>
      </c>
      <c r="O543" s="10" t="n">
        <v>0</v>
      </c>
      <c r="P543" s="10" t="n">
        <v>0</v>
      </c>
      <c r="Q543" s="10" t="n">
        <v>0</v>
      </c>
      <c r="R543" s="10" t="n">
        <v>1254964</v>
      </c>
      <c r="S543" s="10" t="n">
        <v>0</v>
      </c>
      <c r="T543" s="7"/>
      <c r="U543" s="7"/>
      <c r="V543" s="7"/>
      <c r="W543" s="7" t="s">
        <v>49</v>
      </c>
      <c r="X543" s="7"/>
      <c r="Y543" s="7" t="s">
        <v>37</v>
      </c>
      <c r="Z543" s="7" t="s">
        <v>1967</v>
      </c>
      <c r="AA543" s="7" t="s">
        <v>1968</v>
      </c>
      <c r="AB543" s="10" t="n">
        <v>627482</v>
      </c>
      <c r="AC543" s="10" t="n">
        <v>2</v>
      </c>
    </row>
    <row r="544" customFormat="false" ht="15.75" hidden="true" customHeight="true" outlineLevel="0" collapsed="false">
      <c r="A544" s="6"/>
      <c r="B544" s="7" t="s">
        <v>1670</v>
      </c>
      <c r="C544" s="7" t="s">
        <v>31</v>
      </c>
      <c r="D544" s="7" t="s">
        <v>361</v>
      </c>
      <c r="E544" s="7" t="s">
        <v>1969</v>
      </c>
      <c r="F544" s="8" t="s">
        <v>1970</v>
      </c>
      <c r="G544" s="9" t="n">
        <f aca="false">DATE(2000+VALUE(MID(F544,7,2)),VALUE(MID(F544,4,2)),VALUE(LEFT(F544,2)))</f>
        <v>45531</v>
      </c>
      <c r="H544" s="8" t="s">
        <v>1971</v>
      </c>
      <c r="I544" s="9" t="n">
        <f aca="false">DATE(2000+VALUE(MID(H544,7,2)),VALUE(MID(H544,4,2)),VALUE(LEFT(H544,2)))</f>
        <v>45532</v>
      </c>
      <c r="J544" s="9"/>
      <c r="K544" s="10" t="n">
        <v>674822</v>
      </c>
      <c r="L544" s="10" t="n">
        <v>0</v>
      </c>
      <c r="M544" s="10" t="n">
        <v>674822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674822</v>
      </c>
      <c r="S544" s="10" t="n">
        <v>0</v>
      </c>
      <c r="T544" s="7"/>
      <c r="U544" s="7"/>
      <c r="V544" s="7"/>
      <c r="W544" s="7" t="s">
        <v>49</v>
      </c>
      <c r="X544" s="7"/>
      <c r="Y544" s="7" t="s">
        <v>37</v>
      </c>
      <c r="Z544" s="7" t="s">
        <v>1972</v>
      </c>
      <c r="AA544" s="7" t="s">
        <v>1973</v>
      </c>
      <c r="AB544" s="10" t="n">
        <v>674822</v>
      </c>
      <c r="AC544" s="10" t="n">
        <v>1</v>
      </c>
    </row>
    <row r="545" customFormat="false" ht="15.75" hidden="true" customHeight="true" outlineLevel="0" collapsed="false">
      <c r="A545" s="6"/>
      <c r="B545" s="7" t="s">
        <v>1695</v>
      </c>
      <c r="C545" s="7" t="s">
        <v>31</v>
      </c>
      <c r="D545" s="7" t="s">
        <v>32</v>
      </c>
      <c r="E545" s="7" t="s">
        <v>1974</v>
      </c>
      <c r="F545" s="8" t="s">
        <v>1975</v>
      </c>
      <c r="G545" s="9" t="n">
        <f aca="false">DATE(2000+VALUE(MID(F545,7,2)),VALUE(MID(F545,4,2)),VALUE(LEFT(F545,2)))</f>
        <v>45531</v>
      </c>
      <c r="H545" s="8" t="s">
        <v>1976</v>
      </c>
      <c r="I545" s="9" t="n">
        <f aca="false">DATE(2000+VALUE(MID(H545,7,2)),VALUE(MID(H545,4,2)),VALUE(LEFT(H545,2)))</f>
        <v>45532</v>
      </c>
      <c r="J545" s="9"/>
      <c r="K545" s="10" t="n">
        <v>760000</v>
      </c>
      <c r="L545" s="10" t="n">
        <v>0</v>
      </c>
      <c r="M545" s="10" t="n">
        <v>760000</v>
      </c>
      <c r="N545" s="10" t="n">
        <v>0</v>
      </c>
      <c r="O545" s="10" t="n">
        <v>0</v>
      </c>
      <c r="P545" s="10" t="n">
        <v>0</v>
      </c>
      <c r="Q545" s="10" t="n">
        <v>760000</v>
      </c>
      <c r="R545" s="10" t="n">
        <v>0</v>
      </c>
      <c r="S545" s="10" t="n">
        <v>0</v>
      </c>
      <c r="T545" s="7"/>
      <c r="U545" s="7"/>
      <c r="V545" s="7"/>
      <c r="W545" s="7" t="s">
        <v>43</v>
      </c>
      <c r="X545" s="7"/>
      <c r="Y545" s="7" t="s">
        <v>37</v>
      </c>
      <c r="Z545" s="7" t="s">
        <v>1977</v>
      </c>
      <c r="AA545" s="7"/>
      <c r="AB545" s="10" t="n">
        <v>760000</v>
      </c>
      <c r="AC545" s="10" t="n">
        <v>1</v>
      </c>
    </row>
    <row r="546" customFormat="false" ht="15.75" hidden="true" customHeight="true" outlineLevel="0" collapsed="false">
      <c r="A546" s="6"/>
      <c r="B546" s="7" t="s">
        <v>1659</v>
      </c>
      <c r="C546" s="7" t="s">
        <v>71</v>
      </c>
      <c r="D546" s="7" t="s">
        <v>72</v>
      </c>
      <c r="E546" s="7" t="s">
        <v>1978</v>
      </c>
      <c r="F546" s="8" t="s">
        <v>1979</v>
      </c>
      <c r="G546" s="9" t="n">
        <f aca="false">DATE(2000+VALUE(MID(F546,7,2)),VALUE(MID(F546,4,2)),VALUE(LEFT(F546,2)))</f>
        <v>45530</v>
      </c>
      <c r="H546" s="8" t="s">
        <v>1980</v>
      </c>
      <c r="I546" s="9" t="n">
        <f aca="false">DATE(2000+VALUE(MID(H546,7,2)),VALUE(MID(H546,4,2)),VALUE(LEFT(H546,2)))</f>
        <v>45532</v>
      </c>
      <c r="J546" s="9"/>
      <c r="K546" s="10" t="n">
        <v>1000000</v>
      </c>
      <c r="L546" s="10" t="n">
        <v>0</v>
      </c>
      <c r="M546" s="10" t="n">
        <v>1000000</v>
      </c>
      <c r="N546" s="10" t="n">
        <v>0</v>
      </c>
      <c r="O546" s="10" t="n">
        <v>1000000</v>
      </c>
      <c r="P546" s="10" t="n">
        <v>0</v>
      </c>
      <c r="Q546" s="10" t="n">
        <v>0</v>
      </c>
      <c r="R546" s="10" t="n">
        <v>0</v>
      </c>
      <c r="S546" s="10" t="n">
        <v>0</v>
      </c>
      <c r="T546" s="7"/>
      <c r="U546" s="7"/>
      <c r="V546" s="7"/>
      <c r="W546" s="7" t="s">
        <v>43</v>
      </c>
      <c r="X546" s="7"/>
      <c r="Y546" s="7" t="s">
        <v>37</v>
      </c>
      <c r="Z546" s="7" t="s">
        <v>1981</v>
      </c>
      <c r="AA546" s="7"/>
      <c r="AB546" s="10" t="n">
        <v>500000</v>
      </c>
      <c r="AC546" s="10" t="n">
        <v>2</v>
      </c>
    </row>
    <row r="547" customFormat="false" ht="15.75" hidden="true" customHeight="true" outlineLevel="0" collapsed="false">
      <c r="A547" s="6"/>
      <c r="B547" s="7" t="s">
        <v>1982</v>
      </c>
      <c r="C547" s="7" t="s">
        <v>65</v>
      </c>
      <c r="D547" s="7" t="s">
        <v>82</v>
      </c>
      <c r="E547" s="7" t="s">
        <v>1983</v>
      </c>
      <c r="F547" s="8" t="s">
        <v>1984</v>
      </c>
      <c r="G547" s="9" t="n">
        <f aca="false">DATE(2000+VALUE(MID(F547,7,2)),VALUE(MID(F547,4,2)),VALUE(LEFT(F547,2)))</f>
        <v>45531</v>
      </c>
      <c r="H547" s="8" t="s">
        <v>1980</v>
      </c>
      <c r="I547" s="9" t="n">
        <f aca="false">DATE(2000+VALUE(MID(H547,7,2)),VALUE(MID(H547,4,2)),VALUE(LEFT(H547,2)))</f>
        <v>45532</v>
      </c>
      <c r="J547" s="9"/>
      <c r="K547" s="10" t="n">
        <v>549000</v>
      </c>
      <c r="L547" s="10" t="n">
        <v>0</v>
      </c>
      <c r="M547" s="10" t="n">
        <v>549000</v>
      </c>
      <c r="N547" s="10" t="n">
        <v>0</v>
      </c>
      <c r="O547" s="10" t="n">
        <v>0</v>
      </c>
      <c r="P547" s="10" t="n">
        <v>0</v>
      </c>
      <c r="Q547" s="10" t="n">
        <v>549000</v>
      </c>
      <c r="R547" s="10" t="n">
        <v>0</v>
      </c>
      <c r="S547" s="10" t="n">
        <v>0</v>
      </c>
      <c r="T547" s="7"/>
      <c r="U547" s="7"/>
      <c r="V547" s="7"/>
      <c r="W547" s="7" t="s">
        <v>43</v>
      </c>
      <c r="X547" s="7"/>
      <c r="Y547" s="7" t="s">
        <v>37</v>
      </c>
      <c r="Z547" s="7" t="s">
        <v>1985</v>
      </c>
      <c r="AA547" s="7"/>
      <c r="AB547" s="10" t="n">
        <v>549000</v>
      </c>
      <c r="AC547" s="10" t="n">
        <v>1</v>
      </c>
    </row>
    <row r="548" customFormat="false" ht="15.75" hidden="true" customHeight="true" outlineLevel="0" collapsed="false">
      <c r="A548" s="6"/>
      <c r="B548" s="7" t="s">
        <v>1428</v>
      </c>
      <c r="C548" s="7" t="s">
        <v>65</v>
      </c>
      <c r="D548" s="7" t="s">
        <v>87</v>
      </c>
      <c r="E548" s="7" t="s">
        <v>1986</v>
      </c>
      <c r="F548" s="8" t="s">
        <v>1987</v>
      </c>
      <c r="G548" s="9" t="n">
        <f aca="false">DATE(2000+VALUE(MID(F548,7,2)),VALUE(MID(F548,4,2)),VALUE(LEFT(F548,2)))</f>
        <v>45531</v>
      </c>
      <c r="H548" s="8" t="s">
        <v>1988</v>
      </c>
      <c r="I548" s="9" t="n">
        <f aca="false">DATE(2000+VALUE(MID(H548,7,2)),VALUE(MID(H548,4,2)),VALUE(LEFT(H548,2)))</f>
        <v>45533</v>
      </c>
      <c r="J548" s="9"/>
      <c r="K548" s="10" t="n">
        <v>1100000</v>
      </c>
      <c r="L548" s="10" t="n">
        <v>0</v>
      </c>
      <c r="M548" s="10" t="n">
        <v>1100000</v>
      </c>
      <c r="N548" s="10" t="n">
        <v>0</v>
      </c>
      <c r="O548" s="10" t="n">
        <v>875000</v>
      </c>
      <c r="P548" s="10" t="n">
        <v>0</v>
      </c>
      <c r="Q548" s="10" t="n">
        <v>225000</v>
      </c>
      <c r="R548" s="10" t="n">
        <v>0</v>
      </c>
      <c r="S548" s="10" t="n">
        <v>0</v>
      </c>
      <c r="T548" s="7"/>
      <c r="U548" s="7"/>
      <c r="V548" s="7"/>
      <c r="W548" s="7" t="s">
        <v>43</v>
      </c>
      <c r="X548" s="7"/>
      <c r="Y548" s="7" t="s">
        <v>37</v>
      </c>
      <c r="Z548" s="7" t="s">
        <v>1989</v>
      </c>
      <c r="AA548" s="7"/>
      <c r="AB548" s="10" t="n">
        <v>550000</v>
      </c>
      <c r="AC548" s="10" t="n">
        <v>2</v>
      </c>
    </row>
    <row r="549" customFormat="false" ht="15.75" hidden="true" customHeight="true" outlineLevel="0" collapsed="false">
      <c r="A549" s="6"/>
      <c r="B549" s="7" t="s">
        <v>1619</v>
      </c>
      <c r="C549" s="7" t="s">
        <v>60</v>
      </c>
      <c r="D549" s="7" t="s">
        <v>116</v>
      </c>
      <c r="E549" s="7" t="s">
        <v>1990</v>
      </c>
      <c r="F549" s="8" t="s">
        <v>1991</v>
      </c>
      <c r="G549" s="9" t="n">
        <f aca="false">DATE(2000+VALUE(MID(F549,7,2)),VALUE(MID(F549,4,2)),VALUE(LEFT(F549,2)))</f>
        <v>45529</v>
      </c>
      <c r="H549" s="8" t="s">
        <v>1988</v>
      </c>
      <c r="I549" s="9" t="n">
        <f aca="false">DATE(2000+VALUE(MID(H549,7,2)),VALUE(MID(H549,4,2)),VALUE(LEFT(H549,2)))</f>
        <v>45533</v>
      </c>
      <c r="J549" s="9"/>
      <c r="K549" s="10" t="n">
        <v>2596000</v>
      </c>
      <c r="L549" s="10" t="n">
        <v>0</v>
      </c>
      <c r="M549" s="10" t="n">
        <v>2596000</v>
      </c>
      <c r="N549" s="10" t="n">
        <v>0</v>
      </c>
      <c r="O549" s="10" t="n">
        <v>2596000</v>
      </c>
      <c r="P549" s="10" t="n">
        <v>0</v>
      </c>
      <c r="Q549" s="10" t="n">
        <v>0</v>
      </c>
      <c r="R549" s="10" t="n">
        <v>0</v>
      </c>
      <c r="S549" s="10" t="n">
        <v>0</v>
      </c>
      <c r="T549" s="7"/>
      <c r="U549" s="7"/>
      <c r="V549" s="7"/>
      <c r="W549" s="7" t="s">
        <v>43</v>
      </c>
      <c r="X549" s="7"/>
      <c r="Y549" s="7" t="s">
        <v>37</v>
      </c>
      <c r="Z549" s="7" t="s">
        <v>1992</v>
      </c>
      <c r="AA549" s="7"/>
      <c r="AB549" s="10" t="n">
        <v>649000</v>
      </c>
      <c r="AC549" s="10" t="n">
        <v>4</v>
      </c>
    </row>
    <row r="550" customFormat="false" ht="15.75" hidden="true" customHeight="true" outlineLevel="0" collapsed="false">
      <c r="A550" s="6"/>
      <c r="B550" s="7" t="s">
        <v>1619</v>
      </c>
      <c r="C550" s="7" t="s">
        <v>60</v>
      </c>
      <c r="D550" s="7" t="s">
        <v>164</v>
      </c>
      <c r="E550" s="7" t="s">
        <v>1993</v>
      </c>
      <c r="F550" s="8" t="s">
        <v>1994</v>
      </c>
      <c r="G550" s="9" t="n">
        <f aca="false">DATE(2000+VALUE(MID(F550,7,2)),VALUE(MID(F550,4,2)),VALUE(LEFT(F550,2)))</f>
        <v>45529</v>
      </c>
      <c r="H550" s="8" t="s">
        <v>1988</v>
      </c>
      <c r="I550" s="9" t="n">
        <f aca="false">DATE(2000+VALUE(MID(H550,7,2)),VALUE(MID(H550,4,2)),VALUE(LEFT(H550,2)))</f>
        <v>45533</v>
      </c>
      <c r="J550" s="9"/>
      <c r="K550" s="10" t="n">
        <v>2596000</v>
      </c>
      <c r="L550" s="10" t="n">
        <v>0</v>
      </c>
      <c r="M550" s="10" t="n">
        <v>2596000</v>
      </c>
      <c r="N550" s="10" t="n">
        <v>0</v>
      </c>
      <c r="O550" s="10" t="n">
        <v>2596000</v>
      </c>
      <c r="P550" s="10" t="n">
        <v>0</v>
      </c>
      <c r="Q550" s="10" t="n">
        <v>0</v>
      </c>
      <c r="R550" s="10" t="n">
        <v>0</v>
      </c>
      <c r="S550" s="10" t="n">
        <v>0</v>
      </c>
      <c r="T550" s="7"/>
      <c r="U550" s="7"/>
      <c r="V550" s="7"/>
      <c r="W550" s="7" t="s">
        <v>43</v>
      </c>
      <c r="X550" s="7"/>
      <c r="Y550" s="7" t="s">
        <v>37</v>
      </c>
      <c r="Z550" s="7" t="s">
        <v>1995</v>
      </c>
      <c r="AA550" s="7"/>
      <c r="AB550" s="10" t="n">
        <v>649000</v>
      </c>
      <c r="AC550" s="10" t="n">
        <v>4</v>
      </c>
    </row>
    <row r="551" customFormat="false" ht="15.75" hidden="true" customHeight="true" outlineLevel="0" collapsed="false">
      <c r="A551" s="6"/>
      <c r="B551" s="7" t="s">
        <v>1619</v>
      </c>
      <c r="C551" s="7" t="s">
        <v>65</v>
      </c>
      <c r="D551" s="7" t="s">
        <v>66</v>
      </c>
      <c r="E551" s="7" t="s">
        <v>1996</v>
      </c>
      <c r="F551" s="8" t="s">
        <v>1997</v>
      </c>
      <c r="G551" s="9" t="n">
        <f aca="false">DATE(2000+VALUE(MID(F551,7,2)),VALUE(MID(F551,4,2)),VALUE(LEFT(F551,2)))</f>
        <v>45529</v>
      </c>
      <c r="H551" s="8" t="s">
        <v>1988</v>
      </c>
      <c r="I551" s="9" t="n">
        <f aca="false">DATE(2000+VALUE(MID(H551,7,2)),VALUE(MID(H551,4,2)),VALUE(LEFT(H551,2)))</f>
        <v>45533</v>
      </c>
      <c r="J551" s="9"/>
      <c r="K551" s="10" t="n">
        <v>2196000</v>
      </c>
      <c r="L551" s="10" t="n">
        <v>0</v>
      </c>
      <c r="M551" s="10" t="n">
        <v>2196000</v>
      </c>
      <c r="N551" s="10" t="n">
        <v>0</v>
      </c>
      <c r="O551" s="10" t="n">
        <v>2196000</v>
      </c>
      <c r="P551" s="10" t="n">
        <v>0</v>
      </c>
      <c r="Q551" s="10" t="n">
        <v>0</v>
      </c>
      <c r="R551" s="10" t="n">
        <v>0</v>
      </c>
      <c r="S551" s="10" t="n">
        <v>0</v>
      </c>
      <c r="T551" s="7"/>
      <c r="U551" s="7"/>
      <c r="V551" s="7"/>
      <c r="W551" s="7" t="s">
        <v>43</v>
      </c>
      <c r="X551" s="7"/>
      <c r="Y551" s="7" t="s">
        <v>37</v>
      </c>
      <c r="Z551" s="7" t="s">
        <v>1998</v>
      </c>
      <c r="AA551" s="7"/>
      <c r="AB551" s="10" t="n">
        <v>549000</v>
      </c>
      <c r="AC551" s="10" t="n">
        <v>4</v>
      </c>
    </row>
    <row r="552" customFormat="false" ht="15.75" hidden="true" customHeight="true" outlineLevel="0" collapsed="false">
      <c r="A552" s="6"/>
      <c r="B552" s="7" t="s">
        <v>1640</v>
      </c>
      <c r="C552" s="7" t="s">
        <v>31</v>
      </c>
      <c r="D552" s="7" t="s">
        <v>32</v>
      </c>
      <c r="E552" s="7" t="s">
        <v>1999</v>
      </c>
      <c r="F552" s="8" t="s">
        <v>2000</v>
      </c>
      <c r="G552" s="9" t="n">
        <f aca="false">DATE(2000+VALUE(MID(F552,7,2)),VALUE(MID(F552,4,2)),VALUE(LEFT(F552,2)))</f>
        <v>45532</v>
      </c>
      <c r="H552" s="8" t="s">
        <v>1988</v>
      </c>
      <c r="I552" s="9" t="n">
        <f aca="false">DATE(2000+VALUE(MID(H552,7,2)),VALUE(MID(H552,4,2)),VALUE(LEFT(H552,2)))</f>
        <v>45533</v>
      </c>
      <c r="J552" s="9"/>
      <c r="K552" s="10" t="n">
        <v>674871</v>
      </c>
      <c r="L552" s="10" t="n">
        <v>0</v>
      </c>
      <c r="M552" s="10" t="n">
        <v>674871</v>
      </c>
      <c r="N552" s="10" t="n">
        <v>0</v>
      </c>
      <c r="O552" s="10" t="n">
        <v>0</v>
      </c>
      <c r="P552" s="10" t="n">
        <v>0</v>
      </c>
      <c r="Q552" s="10" t="n">
        <v>0</v>
      </c>
      <c r="R552" s="10" t="n">
        <v>674871</v>
      </c>
      <c r="S552" s="10" t="n">
        <v>0</v>
      </c>
      <c r="T552" s="7"/>
      <c r="U552" s="7"/>
      <c r="V552" s="7"/>
      <c r="W552" s="7" t="s">
        <v>49</v>
      </c>
      <c r="X552" s="7"/>
      <c r="Y552" s="7" t="s">
        <v>37</v>
      </c>
      <c r="Z552" s="7" t="s">
        <v>2001</v>
      </c>
      <c r="AA552" s="7" t="s">
        <v>2002</v>
      </c>
      <c r="AB552" s="10" t="n">
        <v>674871</v>
      </c>
      <c r="AC552" s="10" t="n">
        <v>1</v>
      </c>
    </row>
    <row r="553" customFormat="false" ht="15.75" hidden="true" customHeight="true" outlineLevel="0" collapsed="false">
      <c r="A553" s="6"/>
      <c r="B553" s="7" t="s">
        <v>1619</v>
      </c>
      <c r="C553" s="7" t="s">
        <v>65</v>
      </c>
      <c r="D553" s="7" t="s">
        <v>76</v>
      </c>
      <c r="E553" s="7" t="s">
        <v>2003</v>
      </c>
      <c r="F553" s="8" t="s">
        <v>1991</v>
      </c>
      <c r="G553" s="9" t="n">
        <f aca="false">DATE(2000+VALUE(MID(F553,7,2)),VALUE(MID(F553,4,2)),VALUE(LEFT(F553,2)))</f>
        <v>45529</v>
      </c>
      <c r="H553" s="8" t="s">
        <v>2004</v>
      </c>
      <c r="I553" s="9" t="n">
        <f aca="false">DATE(2000+VALUE(MID(H553,7,2)),VALUE(MID(H553,4,2)),VALUE(LEFT(H553,2)))</f>
        <v>45533</v>
      </c>
      <c r="J553" s="9"/>
      <c r="K553" s="10" t="n">
        <v>2196000</v>
      </c>
      <c r="L553" s="10" t="n">
        <v>0</v>
      </c>
      <c r="M553" s="10" t="n">
        <v>2196000</v>
      </c>
      <c r="N553" s="10" t="n">
        <v>0</v>
      </c>
      <c r="O553" s="10" t="n">
        <v>2196000</v>
      </c>
      <c r="P553" s="10" t="n">
        <v>0</v>
      </c>
      <c r="Q553" s="10" t="n">
        <v>0</v>
      </c>
      <c r="R553" s="10" t="n">
        <v>0</v>
      </c>
      <c r="S553" s="10" t="n">
        <v>0</v>
      </c>
      <c r="T553" s="7"/>
      <c r="U553" s="7"/>
      <c r="V553" s="7"/>
      <c r="W553" s="7" t="s">
        <v>43</v>
      </c>
      <c r="X553" s="7"/>
      <c r="Y553" s="7" t="s">
        <v>37</v>
      </c>
      <c r="Z553" s="7" t="s">
        <v>2005</v>
      </c>
      <c r="AA553" s="7"/>
      <c r="AB553" s="10" t="n">
        <v>549000</v>
      </c>
      <c r="AC553" s="10" t="n">
        <v>4</v>
      </c>
    </row>
    <row r="554" customFormat="false" ht="15.75" hidden="true" customHeight="true" outlineLevel="0" collapsed="false">
      <c r="A554" s="6"/>
      <c r="B554" s="7" t="s">
        <v>1619</v>
      </c>
      <c r="C554" s="7" t="s">
        <v>71</v>
      </c>
      <c r="D554" s="7" t="s">
        <v>914</v>
      </c>
      <c r="E554" s="7" t="s">
        <v>2006</v>
      </c>
      <c r="F554" s="8" t="s">
        <v>1991</v>
      </c>
      <c r="G554" s="9" t="n">
        <f aca="false">DATE(2000+VALUE(MID(F554,7,2)),VALUE(MID(F554,4,2)),VALUE(LEFT(F554,2)))</f>
        <v>45529</v>
      </c>
      <c r="H554" s="8" t="s">
        <v>2004</v>
      </c>
      <c r="I554" s="9" t="n">
        <f aca="false">DATE(2000+VALUE(MID(H554,7,2)),VALUE(MID(H554,4,2)),VALUE(LEFT(H554,2)))</f>
        <v>45533</v>
      </c>
      <c r="J554" s="9"/>
      <c r="K554" s="10" t="n">
        <v>2796000</v>
      </c>
      <c r="L554" s="10" t="n">
        <v>0</v>
      </c>
      <c r="M554" s="10" t="n">
        <v>2796000</v>
      </c>
      <c r="N554" s="10" t="n">
        <v>0</v>
      </c>
      <c r="O554" s="10" t="n">
        <v>2796000</v>
      </c>
      <c r="P554" s="10" t="n">
        <v>0</v>
      </c>
      <c r="Q554" s="10" t="n">
        <v>0</v>
      </c>
      <c r="R554" s="10" t="n">
        <v>0</v>
      </c>
      <c r="S554" s="10" t="n">
        <v>0</v>
      </c>
      <c r="T554" s="7"/>
      <c r="U554" s="7"/>
      <c r="V554" s="7"/>
      <c r="W554" s="7" t="s">
        <v>43</v>
      </c>
      <c r="X554" s="7"/>
      <c r="Y554" s="7" t="s">
        <v>37</v>
      </c>
      <c r="Z554" s="7" t="s">
        <v>2007</v>
      </c>
      <c r="AA554" s="7"/>
      <c r="AB554" s="10" t="n">
        <v>699000</v>
      </c>
      <c r="AC554" s="10" t="n">
        <v>4</v>
      </c>
    </row>
    <row r="555" customFormat="false" ht="15.75" hidden="true" customHeight="true" outlineLevel="0" collapsed="false">
      <c r="A555" s="6"/>
      <c r="B555" s="7" t="s">
        <v>1682</v>
      </c>
      <c r="C555" s="7" t="s">
        <v>60</v>
      </c>
      <c r="D555" s="7" t="s">
        <v>173</v>
      </c>
      <c r="E555" s="7" t="s">
        <v>2008</v>
      </c>
      <c r="F555" s="8" t="s">
        <v>2009</v>
      </c>
      <c r="G555" s="9" t="n">
        <f aca="false">DATE(2000+VALUE(MID(F555,7,2)),VALUE(MID(F555,4,2)),VALUE(LEFT(F555,2)))</f>
        <v>45532</v>
      </c>
      <c r="H555" s="8" t="s">
        <v>2010</v>
      </c>
      <c r="I555" s="9" t="n">
        <f aca="false">DATE(2000+VALUE(MID(H555,7,2)),VALUE(MID(H555,4,2)),VALUE(LEFT(H555,2)))</f>
        <v>45534</v>
      </c>
      <c r="J555" s="9"/>
      <c r="K555" s="10" t="n">
        <v>1300000</v>
      </c>
      <c r="L555" s="10" t="n">
        <v>0</v>
      </c>
      <c r="M555" s="10" t="n">
        <v>1300000</v>
      </c>
      <c r="N555" s="10" t="n">
        <v>0</v>
      </c>
      <c r="O555" s="10" t="n">
        <v>0</v>
      </c>
      <c r="P555" s="10" t="n">
        <v>0</v>
      </c>
      <c r="Q555" s="10" t="n">
        <v>1300000</v>
      </c>
      <c r="R555" s="10" t="n">
        <v>0</v>
      </c>
      <c r="S555" s="10" t="n">
        <v>0</v>
      </c>
      <c r="T555" s="7"/>
      <c r="U555" s="7"/>
      <c r="V555" s="7"/>
      <c r="W555" s="7" t="s">
        <v>43</v>
      </c>
      <c r="X555" s="7"/>
      <c r="Y555" s="7" t="s">
        <v>37</v>
      </c>
      <c r="Z555" s="7" t="s">
        <v>2011</v>
      </c>
      <c r="AA555" s="7"/>
      <c r="AB555" s="10" t="n">
        <v>650000</v>
      </c>
      <c r="AC555" s="10" t="n">
        <v>2</v>
      </c>
    </row>
    <row r="556" customFormat="false" ht="15.75" hidden="true" customHeight="true" outlineLevel="0" collapsed="false">
      <c r="A556" s="6"/>
      <c r="B556" s="7" t="s">
        <v>1619</v>
      </c>
      <c r="C556" s="7" t="s">
        <v>65</v>
      </c>
      <c r="D556" s="7" t="s">
        <v>96</v>
      </c>
      <c r="E556" s="7" t="s">
        <v>2012</v>
      </c>
      <c r="F556" s="8" t="s">
        <v>1997</v>
      </c>
      <c r="G556" s="9" t="n">
        <f aca="false">DATE(2000+VALUE(MID(F556,7,2)),VALUE(MID(F556,4,2)),VALUE(LEFT(F556,2)))</f>
        <v>45529</v>
      </c>
      <c r="H556" s="8" t="s">
        <v>2010</v>
      </c>
      <c r="I556" s="9" t="n">
        <f aca="false">DATE(2000+VALUE(MID(H556,7,2)),VALUE(MID(H556,4,2)),VALUE(LEFT(H556,2)))</f>
        <v>45534</v>
      </c>
      <c r="J556" s="9"/>
      <c r="K556" s="10" t="n">
        <v>2745000</v>
      </c>
      <c r="L556" s="10" t="n">
        <v>0</v>
      </c>
      <c r="M556" s="10" t="n">
        <v>2745000</v>
      </c>
      <c r="N556" s="10" t="n">
        <v>0</v>
      </c>
      <c r="O556" s="10" t="n">
        <v>2745000</v>
      </c>
      <c r="P556" s="10" t="n">
        <v>0</v>
      </c>
      <c r="Q556" s="10" t="n">
        <v>0</v>
      </c>
      <c r="R556" s="10" t="n">
        <v>0</v>
      </c>
      <c r="S556" s="10" t="n">
        <v>0</v>
      </c>
      <c r="T556" s="7"/>
      <c r="U556" s="7"/>
      <c r="V556" s="7"/>
      <c r="W556" s="7" t="s">
        <v>43</v>
      </c>
      <c r="X556" s="7"/>
      <c r="Y556" s="7" t="s">
        <v>37</v>
      </c>
      <c r="Z556" s="7" t="s">
        <v>2013</v>
      </c>
      <c r="AA556" s="7"/>
      <c r="AB556" s="10" t="n">
        <v>549000</v>
      </c>
      <c r="AC556" s="10" t="n">
        <v>5</v>
      </c>
    </row>
    <row r="557" customFormat="false" ht="15.75" hidden="true" customHeight="true" outlineLevel="0" collapsed="false">
      <c r="A557" s="6"/>
      <c r="B557" s="7" t="s">
        <v>1698</v>
      </c>
      <c r="C557" s="7" t="s">
        <v>65</v>
      </c>
      <c r="D557" s="7" t="s">
        <v>66</v>
      </c>
      <c r="E557" s="7" t="s">
        <v>2014</v>
      </c>
      <c r="F557" s="8" t="s">
        <v>2015</v>
      </c>
      <c r="G557" s="9" t="n">
        <f aca="false">DATE(2000+VALUE(MID(F557,7,2)),VALUE(MID(F557,4,2)),VALUE(LEFT(F557,2)))</f>
        <v>45533</v>
      </c>
      <c r="H557" s="8" t="s">
        <v>2016</v>
      </c>
      <c r="I557" s="9" t="n">
        <f aca="false">DATE(2000+VALUE(MID(H557,7,2)),VALUE(MID(H557,4,2)),VALUE(LEFT(H557,2)))</f>
        <v>45534</v>
      </c>
      <c r="J557" s="9"/>
      <c r="K557" s="10" t="n">
        <v>500000</v>
      </c>
      <c r="L557" s="10" t="n">
        <v>0</v>
      </c>
      <c r="M557" s="10" t="n">
        <v>500000</v>
      </c>
      <c r="N557" s="10" t="n">
        <v>0</v>
      </c>
      <c r="O557" s="10" t="n">
        <v>500000</v>
      </c>
      <c r="P557" s="10" t="n">
        <v>0</v>
      </c>
      <c r="Q557" s="10" t="n">
        <v>0</v>
      </c>
      <c r="R557" s="10" t="n">
        <v>0</v>
      </c>
      <c r="S557" s="10" t="n">
        <v>0</v>
      </c>
      <c r="T557" s="7"/>
      <c r="U557" s="7"/>
      <c r="V557" s="7"/>
      <c r="W557" s="7" t="s">
        <v>43</v>
      </c>
      <c r="X557" s="7"/>
      <c r="Y557" s="7" t="s">
        <v>37</v>
      </c>
      <c r="Z557" s="7" t="s">
        <v>2017</v>
      </c>
      <c r="AA557" s="7"/>
      <c r="AB557" s="10" t="n">
        <v>500000</v>
      </c>
      <c r="AC557" s="10" t="n">
        <v>1</v>
      </c>
    </row>
    <row r="558" customFormat="false" ht="15.75" hidden="true" customHeight="true" outlineLevel="0" collapsed="false">
      <c r="A558" s="6"/>
      <c r="B558" s="7" t="s">
        <v>1686</v>
      </c>
      <c r="C558" s="7" t="s">
        <v>65</v>
      </c>
      <c r="D558" s="7" t="s">
        <v>82</v>
      </c>
      <c r="E558" s="7" t="s">
        <v>2018</v>
      </c>
      <c r="F558" s="8" t="s">
        <v>2019</v>
      </c>
      <c r="G558" s="9" t="n">
        <f aca="false">DATE(2000+VALUE(MID(F558,7,2)),VALUE(MID(F558,4,2)),VALUE(LEFT(F558,2)))</f>
        <v>45533</v>
      </c>
      <c r="H558" s="8" t="s">
        <v>2020</v>
      </c>
      <c r="I558" s="9" t="n">
        <f aca="false">DATE(2000+VALUE(MID(H558,7,2)),VALUE(MID(H558,4,2)),VALUE(LEFT(H558,2)))</f>
        <v>45534</v>
      </c>
      <c r="J558" s="9"/>
      <c r="K558" s="10" t="n">
        <v>534000</v>
      </c>
      <c r="L558" s="10" t="n">
        <v>0</v>
      </c>
      <c r="M558" s="10" t="n">
        <v>534000</v>
      </c>
      <c r="N558" s="10" t="n">
        <v>0</v>
      </c>
      <c r="O558" s="10" t="n">
        <v>0</v>
      </c>
      <c r="P558" s="10" t="n">
        <v>0</v>
      </c>
      <c r="Q558" s="10" t="n">
        <v>0</v>
      </c>
      <c r="R558" s="10" t="n">
        <v>534000</v>
      </c>
      <c r="S558" s="10" t="n">
        <v>0</v>
      </c>
      <c r="T558" s="7"/>
      <c r="U558" s="7"/>
      <c r="V558" s="7"/>
      <c r="W558" s="7" t="s">
        <v>49</v>
      </c>
      <c r="X558" s="7"/>
      <c r="Y558" s="7" t="s">
        <v>37</v>
      </c>
      <c r="Z558" s="7" t="s">
        <v>2021</v>
      </c>
      <c r="AA558" s="7" t="s">
        <v>2022</v>
      </c>
      <c r="AB558" s="10" t="n">
        <v>534000</v>
      </c>
      <c r="AC558" s="10" t="n">
        <v>1</v>
      </c>
    </row>
    <row r="559" customFormat="false" ht="15.75" hidden="true" customHeight="true" outlineLevel="0" collapsed="false">
      <c r="A559" s="6"/>
      <c r="B559" s="7" t="s">
        <v>1705</v>
      </c>
      <c r="C559" s="7" t="s">
        <v>65</v>
      </c>
      <c r="D559" s="7" t="s">
        <v>87</v>
      </c>
      <c r="E559" s="7" t="s">
        <v>2023</v>
      </c>
      <c r="F559" s="8" t="s">
        <v>2024</v>
      </c>
      <c r="G559" s="9" t="n">
        <f aca="false">DATE(2000+VALUE(MID(F559,7,2)),VALUE(MID(F559,4,2)),VALUE(LEFT(F559,2)))</f>
        <v>45532</v>
      </c>
      <c r="H559" s="8" t="s">
        <v>2025</v>
      </c>
      <c r="I559" s="9" t="n">
        <f aca="false">DATE(2000+VALUE(MID(H559,7,2)),VALUE(MID(H559,4,2)),VALUE(LEFT(H559,2)))</f>
        <v>45534</v>
      </c>
      <c r="J559" s="9"/>
      <c r="K559" s="10" t="n">
        <v>1098000</v>
      </c>
      <c r="L559" s="10" t="n">
        <v>0</v>
      </c>
      <c r="M559" s="10" t="n">
        <v>1098000</v>
      </c>
      <c r="N559" s="10" t="n">
        <v>0</v>
      </c>
      <c r="O559" s="10" t="n">
        <v>7200</v>
      </c>
      <c r="P559" s="10" t="n">
        <v>0</v>
      </c>
      <c r="Q559" s="10" t="n">
        <v>1090800</v>
      </c>
      <c r="R559" s="10" t="n">
        <v>0</v>
      </c>
      <c r="S559" s="10" t="n">
        <v>0</v>
      </c>
      <c r="T559" s="7"/>
      <c r="U559" s="7"/>
      <c r="V559" s="7"/>
      <c r="W559" s="7" t="s">
        <v>43</v>
      </c>
      <c r="X559" s="7"/>
      <c r="Y559" s="7" t="s">
        <v>37</v>
      </c>
      <c r="Z559" s="7" t="s">
        <v>2026</v>
      </c>
      <c r="AA559" s="7"/>
      <c r="AB559" s="10" t="n">
        <v>549000</v>
      </c>
      <c r="AC559" s="10" t="n">
        <v>2</v>
      </c>
    </row>
    <row r="560" customFormat="false" ht="15.75" hidden="true" customHeight="true" outlineLevel="0" collapsed="false">
      <c r="A560" s="6"/>
      <c r="B560" s="7" t="s">
        <v>1690</v>
      </c>
      <c r="C560" s="7" t="s">
        <v>31</v>
      </c>
      <c r="D560" s="7" t="s">
        <v>32</v>
      </c>
      <c r="E560" s="7" t="s">
        <v>2027</v>
      </c>
      <c r="F560" s="8" t="s">
        <v>2028</v>
      </c>
      <c r="G560" s="9" t="n">
        <f aca="false">DATE(2000+VALUE(MID(F560,7,2)),VALUE(MID(F560,4,2)),VALUE(LEFT(F560,2)))</f>
        <v>45534</v>
      </c>
      <c r="H560" s="8" t="s">
        <v>2029</v>
      </c>
      <c r="I560" s="9" t="n">
        <f aca="false">DATE(2000+VALUE(MID(H560,7,2)),VALUE(MID(H560,4,2)),VALUE(LEFT(H560,2)))</f>
        <v>45535</v>
      </c>
      <c r="J560" s="9"/>
      <c r="K560" s="10" t="n">
        <v>750000</v>
      </c>
      <c r="L560" s="10" t="n">
        <v>0</v>
      </c>
      <c r="M560" s="10" t="n">
        <v>750000</v>
      </c>
      <c r="N560" s="10" t="n">
        <v>0</v>
      </c>
      <c r="O560" s="10" t="n">
        <v>0</v>
      </c>
      <c r="P560" s="10" t="n">
        <v>0</v>
      </c>
      <c r="Q560" s="10" t="n">
        <v>750000</v>
      </c>
      <c r="R560" s="10" t="n">
        <v>0</v>
      </c>
      <c r="S560" s="10" t="n">
        <v>0</v>
      </c>
      <c r="T560" s="7"/>
      <c r="U560" s="7"/>
      <c r="V560" s="7"/>
      <c r="W560" s="7" t="s">
        <v>43</v>
      </c>
      <c r="X560" s="7"/>
      <c r="Y560" s="7" t="s">
        <v>37</v>
      </c>
      <c r="Z560" s="7" t="s">
        <v>2030</v>
      </c>
      <c r="AA560" s="7"/>
      <c r="AB560" s="10" t="n">
        <v>750000</v>
      </c>
      <c r="AC560" s="10" t="n">
        <v>1</v>
      </c>
    </row>
    <row r="561" customFormat="false" ht="15.75" hidden="true" customHeight="true" outlineLevel="0" collapsed="false">
      <c r="A561" s="6"/>
      <c r="B561" s="7" t="s">
        <v>2031</v>
      </c>
      <c r="C561" s="7" t="s">
        <v>60</v>
      </c>
      <c r="D561" s="7" t="s">
        <v>164</v>
      </c>
      <c r="E561" s="7" t="s">
        <v>2032</v>
      </c>
      <c r="F561" s="8" t="s">
        <v>2033</v>
      </c>
      <c r="G561" s="9" t="n">
        <f aca="false">DATE(2000+VALUE(MID(F561,7,2)),VALUE(MID(F561,4,2)),VALUE(LEFT(F561,2)))</f>
        <v>45533</v>
      </c>
      <c r="H561" s="8" t="s">
        <v>2029</v>
      </c>
      <c r="I561" s="9" t="n">
        <f aca="false">DATE(2000+VALUE(MID(H561,7,2)),VALUE(MID(H561,4,2)),VALUE(LEFT(H561,2)))</f>
        <v>45535</v>
      </c>
      <c r="J561" s="9"/>
      <c r="K561" s="10" t="n">
        <v>1100000</v>
      </c>
      <c r="L561" s="10" t="n">
        <v>0</v>
      </c>
      <c r="M561" s="10" t="n">
        <v>1100000</v>
      </c>
      <c r="N561" s="10" t="n">
        <v>0</v>
      </c>
      <c r="O561" s="10" t="n">
        <v>500000</v>
      </c>
      <c r="P561" s="10" t="n">
        <v>0</v>
      </c>
      <c r="Q561" s="10" t="n">
        <v>600000</v>
      </c>
      <c r="R561" s="10" t="n">
        <v>0</v>
      </c>
      <c r="S561" s="10" t="n">
        <v>0</v>
      </c>
      <c r="T561" s="7"/>
      <c r="U561" s="7"/>
      <c r="V561" s="7"/>
      <c r="W561" s="7" t="s">
        <v>43</v>
      </c>
      <c r="X561" s="7"/>
      <c r="Y561" s="7" t="s">
        <v>37</v>
      </c>
      <c r="Z561" s="7" t="s">
        <v>2034</v>
      </c>
      <c r="AA561" s="7"/>
      <c r="AB561" s="10" t="n">
        <v>550000</v>
      </c>
      <c r="AC561" s="10" t="n">
        <v>2</v>
      </c>
    </row>
    <row r="562" customFormat="false" ht="15.75" hidden="true" customHeight="true" outlineLevel="0" collapsed="false">
      <c r="A562" s="6"/>
      <c r="B562" s="7" t="s">
        <v>1235</v>
      </c>
      <c r="C562" s="7" t="s">
        <v>209</v>
      </c>
      <c r="D562" s="7" t="s">
        <v>209</v>
      </c>
      <c r="E562" s="7" t="s">
        <v>202</v>
      </c>
      <c r="F562" s="8" t="s">
        <v>1560</v>
      </c>
      <c r="G562" s="9" t="n">
        <f aca="false">DATE(2000+VALUE(MID(F562,7,2)),VALUE(MID(F562,4,2)),VALUE(LEFT(F562,2)))</f>
        <v>45506</v>
      </c>
      <c r="H562" s="8" t="s">
        <v>2035</v>
      </c>
      <c r="I562" s="9" t="n">
        <f aca="false">DATE(2000+VALUE(MID(H562,7,2)),VALUE(MID(H562,4,2)),VALUE(LEFT(H562,2)))</f>
        <v>45535</v>
      </c>
      <c r="J562" s="9"/>
      <c r="K562" s="10" t="n">
        <v>27940000</v>
      </c>
      <c r="L562" s="10" t="n">
        <v>1388000</v>
      </c>
      <c r="M562" s="10" t="n">
        <v>29328000</v>
      </c>
      <c r="N562" s="10" t="n">
        <v>0</v>
      </c>
      <c r="O562" s="10" t="n">
        <v>0</v>
      </c>
      <c r="P562" s="10" t="n">
        <v>0</v>
      </c>
      <c r="Q562" s="10" t="n">
        <v>29328000</v>
      </c>
      <c r="R562" s="10" t="n">
        <v>0</v>
      </c>
      <c r="S562" s="10" t="n">
        <v>0</v>
      </c>
      <c r="T562" s="7"/>
      <c r="U562" s="7"/>
      <c r="V562" s="7"/>
      <c r="W562" s="7" t="s">
        <v>36</v>
      </c>
      <c r="X562" s="7"/>
      <c r="Y562" s="7" t="s">
        <v>37</v>
      </c>
      <c r="Z562" s="7" t="s">
        <v>2031</v>
      </c>
      <c r="AA562" s="7"/>
      <c r="AB562" s="10" t="n">
        <v>963448.2758</v>
      </c>
      <c r="AC562" s="10" t="n">
        <v>29</v>
      </c>
    </row>
    <row r="563" customFormat="false" ht="15.75" hidden="true" customHeight="true" outlineLevel="0" collapsed="false">
      <c r="A563" s="6"/>
      <c r="B563" s="7" t="s">
        <v>1428</v>
      </c>
      <c r="C563" s="7" t="s">
        <v>65</v>
      </c>
      <c r="D563" s="7" t="s">
        <v>87</v>
      </c>
      <c r="E563" s="7" t="s">
        <v>202</v>
      </c>
      <c r="F563" s="8" t="s">
        <v>2036</v>
      </c>
      <c r="G563" s="9" t="n">
        <f aca="false">DATE(2000+VALUE(MID(F563,7,2)),VALUE(MID(F563,4,2)),VALUE(LEFT(F563,2)))</f>
        <v>45534</v>
      </c>
      <c r="H563" s="8" t="s">
        <v>2035</v>
      </c>
      <c r="I563" s="9" t="n">
        <f aca="false">DATE(2000+VALUE(MID(H563,7,2)),VALUE(MID(H563,4,2)),VALUE(LEFT(H563,2)))</f>
        <v>45535</v>
      </c>
      <c r="J563" s="9"/>
      <c r="K563" s="10" t="n">
        <v>650000</v>
      </c>
      <c r="L563" s="10" t="n">
        <v>0</v>
      </c>
      <c r="M563" s="10" t="n">
        <v>650000</v>
      </c>
      <c r="N563" s="10" t="n">
        <v>0</v>
      </c>
      <c r="O563" s="10" t="n">
        <v>0</v>
      </c>
      <c r="P563" s="10" t="n">
        <v>0</v>
      </c>
      <c r="Q563" s="10" t="n">
        <v>650000</v>
      </c>
      <c r="R563" s="10" t="n">
        <v>0</v>
      </c>
      <c r="S563" s="10" t="n">
        <v>0</v>
      </c>
      <c r="T563" s="7"/>
      <c r="U563" s="7"/>
      <c r="V563" s="7"/>
      <c r="W563" s="7" t="s">
        <v>43</v>
      </c>
      <c r="X563" s="7"/>
      <c r="Y563" s="7" t="s">
        <v>37</v>
      </c>
      <c r="Z563" s="7" t="s">
        <v>2037</v>
      </c>
      <c r="AA563" s="7"/>
      <c r="AB563" s="10" t="n">
        <v>650000</v>
      </c>
      <c r="AC563" s="10" t="n">
        <v>1</v>
      </c>
    </row>
    <row r="564" customFormat="false" ht="15.75" hidden="true" customHeight="true" outlineLevel="0" collapsed="false">
      <c r="A564" s="6"/>
      <c r="B564" s="7" t="s">
        <v>2031</v>
      </c>
      <c r="C564" s="7" t="s">
        <v>60</v>
      </c>
      <c r="D564" s="7" t="s">
        <v>61</v>
      </c>
      <c r="E564" s="7" t="s">
        <v>202</v>
      </c>
      <c r="F564" s="8" t="s">
        <v>2038</v>
      </c>
      <c r="G564" s="9" t="n">
        <f aca="false">DATE(2000+VALUE(MID(F564,7,2)),VALUE(MID(F564,4,2)),VALUE(LEFT(F564,2)))</f>
        <v>45534</v>
      </c>
      <c r="H564" s="8" t="s">
        <v>2035</v>
      </c>
      <c r="I564" s="9" t="n">
        <f aca="false">DATE(2000+VALUE(MID(H564,7,2)),VALUE(MID(H564,4,2)),VALUE(LEFT(H564,2)))</f>
        <v>45535</v>
      </c>
      <c r="J564" s="9"/>
      <c r="K564" s="10" t="n">
        <v>550000</v>
      </c>
      <c r="L564" s="10" t="n">
        <v>0</v>
      </c>
      <c r="M564" s="10" t="n">
        <v>550000</v>
      </c>
      <c r="N564" s="10" t="n">
        <v>0</v>
      </c>
      <c r="O564" s="10" t="n">
        <v>550000</v>
      </c>
      <c r="P564" s="10" t="n">
        <v>0</v>
      </c>
      <c r="Q564" s="10" t="n">
        <v>0</v>
      </c>
      <c r="R564" s="10" t="n">
        <v>0</v>
      </c>
      <c r="S564" s="10" t="n">
        <v>0</v>
      </c>
      <c r="T564" s="7"/>
      <c r="U564" s="7"/>
      <c r="V564" s="7"/>
      <c r="W564" s="7" t="s">
        <v>43</v>
      </c>
      <c r="X564" s="7"/>
      <c r="Y564" s="7" t="s">
        <v>37</v>
      </c>
      <c r="Z564" s="7" t="s">
        <v>2039</v>
      </c>
      <c r="AA564" s="7"/>
      <c r="AB564" s="10" t="n">
        <v>550000</v>
      </c>
      <c r="AC564" s="10" t="n">
        <v>1</v>
      </c>
    </row>
    <row r="565" customFormat="false" ht="15.75" hidden="true" customHeight="true" outlineLevel="0" collapsed="false">
      <c r="A565" s="6"/>
      <c r="B565" s="7" t="s">
        <v>1701</v>
      </c>
      <c r="C565" s="7" t="s">
        <v>71</v>
      </c>
      <c r="D565" s="7" t="s">
        <v>92</v>
      </c>
      <c r="E565" s="7" t="s">
        <v>2040</v>
      </c>
      <c r="F565" s="8" t="s">
        <v>2041</v>
      </c>
      <c r="G565" s="9" t="n">
        <f aca="false">DATE(2000+VALUE(MID(F565,7,2)),VALUE(MID(F565,4,2)),VALUE(LEFT(F565,2)))</f>
        <v>45533</v>
      </c>
      <c r="H565" s="8" t="s">
        <v>2042</v>
      </c>
      <c r="I565" s="9" t="n">
        <f aca="false">DATE(2000+VALUE(MID(H565,7,2)),VALUE(MID(H565,4,2)),VALUE(LEFT(H565,2)))</f>
        <v>45536</v>
      </c>
      <c r="J565" s="9"/>
      <c r="K565" s="10" t="n">
        <v>1800000</v>
      </c>
      <c r="L565" s="10" t="n">
        <v>65000</v>
      </c>
      <c r="M565" s="10" t="n">
        <v>1865000</v>
      </c>
      <c r="N565" s="10" t="n">
        <v>0</v>
      </c>
      <c r="O565" s="10" t="n">
        <v>500000</v>
      </c>
      <c r="P565" s="10" t="n">
        <v>0</v>
      </c>
      <c r="Q565" s="10" t="n">
        <v>0</v>
      </c>
      <c r="R565" s="10" t="n">
        <v>1365000</v>
      </c>
      <c r="S565" s="10" t="n">
        <v>0</v>
      </c>
      <c r="T565" s="7"/>
      <c r="U565" s="7"/>
      <c r="V565" s="7"/>
      <c r="W565" s="7" t="s">
        <v>43</v>
      </c>
      <c r="X565" s="7"/>
      <c r="Y565" s="7" t="s">
        <v>37</v>
      </c>
      <c r="Z565" s="7" t="s">
        <v>2043</v>
      </c>
      <c r="AA565" s="7"/>
      <c r="AB565" s="10" t="n">
        <v>600000</v>
      </c>
      <c r="AC565" s="10" t="n">
        <v>3</v>
      </c>
    </row>
    <row r="566" customFormat="false" ht="15.75" hidden="true" customHeight="true" outlineLevel="0" collapsed="false">
      <c r="A566" s="6"/>
      <c r="B566" s="7" t="s">
        <v>2044</v>
      </c>
      <c r="C566" s="7" t="s">
        <v>65</v>
      </c>
      <c r="D566" s="7" t="s">
        <v>87</v>
      </c>
      <c r="E566" s="7" t="s">
        <v>2045</v>
      </c>
      <c r="F566" s="8" t="s">
        <v>2046</v>
      </c>
      <c r="G566" s="9" t="n">
        <f aca="false">DATE(2000+VALUE(MID(F566,7,2)),VALUE(MID(F566,4,2)),VALUE(LEFT(F566,2)))</f>
        <v>45535</v>
      </c>
      <c r="H566" s="8" t="s">
        <v>2042</v>
      </c>
      <c r="I566" s="9" t="n">
        <f aca="false">DATE(2000+VALUE(MID(H566,7,2)),VALUE(MID(H566,4,2)),VALUE(LEFT(H566,2)))</f>
        <v>45536</v>
      </c>
      <c r="J566" s="9"/>
      <c r="K566" s="10" t="n">
        <v>649000</v>
      </c>
      <c r="L566" s="10" t="n">
        <v>0</v>
      </c>
      <c r="M566" s="10" t="n">
        <v>616550</v>
      </c>
      <c r="N566" s="10" t="n">
        <v>0</v>
      </c>
      <c r="O566" s="10" t="n">
        <v>300000</v>
      </c>
      <c r="P566" s="10" t="n">
        <v>0</v>
      </c>
      <c r="Q566" s="10" t="n">
        <v>316550</v>
      </c>
      <c r="R566" s="10" t="n">
        <v>0</v>
      </c>
      <c r="S566" s="10" t="n">
        <v>0</v>
      </c>
      <c r="T566" s="7"/>
      <c r="U566" s="7"/>
      <c r="V566" s="7"/>
      <c r="W566" s="7" t="s">
        <v>43</v>
      </c>
      <c r="X566" s="7"/>
      <c r="Y566" s="7" t="s">
        <v>37</v>
      </c>
      <c r="Z566" s="7" t="s">
        <v>2047</v>
      </c>
      <c r="AA566" s="7" t="s">
        <v>2048</v>
      </c>
      <c r="AB566" s="10" t="n">
        <v>649000</v>
      </c>
      <c r="AC566" s="10" t="n">
        <v>1</v>
      </c>
    </row>
    <row r="567" customFormat="false" ht="15.75" hidden="true" customHeight="true" outlineLevel="0" collapsed="false">
      <c r="A567" s="6"/>
      <c r="B567" s="7" t="s">
        <v>1743</v>
      </c>
      <c r="C567" s="7" t="s">
        <v>65</v>
      </c>
      <c r="D567" s="7" t="s">
        <v>66</v>
      </c>
      <c r="E567" s="7" t="s">
        <v>330</v>
      </c>
      <c r="F567" s="8" t="s">
        <v>2049</v>
      </c>
      <c r="G567" s="9" t="n">
        <f aca="false">DATE(2000+VALUE(MID(F567,7,2)),VALUE(MID(F567,4,2)),VALUE(LEFT(F567,2)))</f>
        <v>45534</v>
      </c>
      <c r="H567" s="8" t="s">
        <v>2050</v>
      </c>
      <c r="I567" s="9" t="n">
        <f aca="false">DATE(2000+VALUE(MID(H567,7,2)),VALUE(MID(H567,4,2)),VALUE(LEFT(H567,2)))</f>
        <v>45536</v>
      </c>
      <c r="J567" s="9"/>
      <c r="K567" s="10" t="n">
        <v>1000000</v>
      </c>
      <c r="L567" s="10" t="n">
        <v>0</v>
      </c>
      <c r="M567" s="10" t="n">
        <v>1000000</v>
      </c>
      <c r="N567" s="10" t="n">
        <v>0</v>
      </c>
      <c r="O567" s="10" t="n">
        <v>1000000</v>
      </c>
      <c r="P567" s="10" t="n">
        <v>0</v>
      </c>
      <c r="Q567" s="10" t="n">
        <v>0</v>
      </c>
      <c r="R567" s="10" t="n">
        <v>0</v>
      </c>
      <c r="S567" s="10" t="n">
        <v>0</v>
      </c>
      <c r="T567" s="7"/>
      <c r="U567" s="7"/>
      <c r="V567" s="7"/>
      <c r="W567" s="7" t="s">
        <v>43</v>
      </c>
      <c r="X567" s="7"/>
      <c r="Y567" s="7" t="s">
        <v>37</v>
      </c>
      <c r="Z567" s="7" t="s">
        <v>2051</v>
      </c>
      <c r="AA567" s="7"/>
      <c r="AB567" s="10" t="n">
        <v>500000</v>
      </c>
      <c r="AC567" s="10" t="n">
        <v>2</v>
      </c>
    </row>
    <row r="568" customFormat="false" ht="15.75" hidden="true" customHeight="true" outlineLevel="0" collapsed="false">
      <c r="A568" s="6"/>
      <c r="B568" s="7" t="s">
        <v>1723</v>
      </c>
      <c r="C568" s="7" t="s">
        <v>60</v>
      </c>
      <c r="D568" s="7" t="s">
        <v>173</v>
      </c>
      <c r="E568" s="7" t="s">
        <v>2052</v>
      </c>
      <c r="F568" s="8" t="s">
        <v>2053</v>
      </c>
      <c r="G568" s="9" t="n">
        <f aca="false">DATE(2000+VALUE(MID(F568,7,2)),VALUE(MID(F568,4,2)),VALUE(LEFT(F568,2)))</f>
        <v>45535</v>
      </c>
      <c r="H568" s="8" t="s">
        <v>2050</v>
      </c>
      <c r="I568" s="9" t="n">
        <f aca="false">DATE(2000+VALUE(MID(H568,7,2)),VALUE(MID(H568,4,2)),VALUE(LEFT(H568,2)))</f>
        <v>45536</v>
      </c>
      <c r="J568" s="9"/>
      <c r="K568" s="10" t="n">
        <v>649000</v>
      </c>
      <c r="L568" s="10" t="n">
        <v>0</v>
      </c>
      <c r="M568" s="10" t="n">
        <v>649000</v>
      </c>
      <c r="N568" s="10" t="n">
        <v>0</v>
      </c>
      <c r="O568" s="10" t="n">
        <v>649000</v>
      </c>
      <c r="P568" s="10" t="n">
        <v>0</v>
      </c>
      <c r="Q568" s="10" t="n">
        <v>0</v>
      </c>
      <c r="R568" s="10" t="n">
        <v>0</v>
      </c>
      <c r="S568" s="10" t="n">
        <v>0</v>
      </c>
      <c r="T568" s="7"/>
      <c r="U568" s="7"/>
      <c r="V568" s="7"/>
      <c r="W568" s="7" t="s">
        <v>43</v>
      </c>
      <c r="X568" s="7"/>
      <c r="Y568" s="7" t="s">
        <v>37</v>
      </c>
      <c r="Z568" s="7" t="s">
        <v>2054</v>
      </c>
      <c r="AA568" s="7"/>
      <c r="AB568" s="10" t="n">
        <v>649000</v>
      </c>
      <c r="AC568" s="10" t="n">
        <v>1</v>
      </c>
    </row>
    <row r="569" customFormat="false" ht="15.75" hidden="true" customHeight="true" outlineLevel="0" collapsed="false">
      <c r="A569" s="6"/>
      <c r="B569" s="7" t="s">
        <v>1368</v>
      </c>
      <c r="C569" s="7" t="s">
        <v>65</v>
      </c>
      <c r="D569" s="7" t="s">
        <v>76</v>
      </c>
      <c r="E569" s="7" t="s">
        <v>2055</v>
      </c>
      <c r="F569" s="8" t="s">
        <v>2056</v>
      </c>
      <c r="G569" s="9" t="n">
        <f aca="false">DATE(2000+VALUE(MID(F569,7,2)),VALUE(MID(F569,4,2)),VALUE(LEFT(F569,2)))</f>
        <v>45534</v>
      </c>
      <c r="H569" s="8" t="s">
        <v>2057</v>
      </c>
      <c r="I569" s="9" t="n">
        <f aca="false">DATE(2000+VALUE(MID(H569,7,2)),VALUE(MID(H569,4,2)),VALUE(LEFT(H569,2)))</f>
        <v>45536</v>
      </c>
      <c r="J569" s="9"/>
      <c r="K569" s="10" t="n">
        <v>1167840</v>
      </c>
      <c r="L569" s="10" t="n">
        <v>0</v>
      </c>
      <c r="M569" s="10" t="n">
        <v>1167840</v>
      </c>
      <c r="N569" s="10" t="n">
        <v>0</v>
      </c>
      <c r="O569" s="10" t="n">
        <v>0</v>
      </c>
      <c r="P569" s="10" t="n">
        <v>0</v>
      </c>
      <c r="Q569" s="10" t="n">
        <v>0</v>
      </c>
      <c r="R569" s="10" t="n">
        <v>1167840</v>
      </c>
      <c r="S569" s="10" t="n">
        <v>0</v>
      </c>
      <c r="T569" s="7"/>
      <c r="U569" s="7"/>
      <c r="V569" s="7"/>
      <c r="W569" s="7" t="s">
        <v>49</v>
      </c>
      <c r="X569" s="7"/>
      <c r="Y569" s="7" t="s">
        <v>37</v>
      </c>
      <c r="Z569" s="7" t="s">
        <v>1982</v>
      </c>
      <c r="AA569" s="7" t="s">
        <v>2058</v>
      </c>
      <c r="AB569" s="10" t="n">
        <v>583920</v>
      </c>
      <c r="AC569" s="10" t="n">
        <v>2</v>
      </c>
    </row>
    <row r="570" customFormat="false" ht="15.75" hidden="true" customHeight="true" outlineLevel="0" collapsed="false">
      <c r="A570" s="6"/>
      <c r="B570" s="7" t="s">
        <v>1989</v>
      </c>
      <c r="C570" s="7" t="s">
        <v>60</v>
      </c>
      <c r="D570" s="7" t="s">
        <v>61</v>
      </c>
      <c r="E570" s="7" t="s">
        <v>1597</v>
      </c>
      <c r="F570" s="8" t="s">
        <v>2059</v>
      </c>
      <c r="G570" s="9" t="n">
        <f aca="false">DATE(2000+VALUE(MID(F570,7,2)),VALUE(MID(F570,4,2)),VALUE(LEFT(F570,2)))</f>
        <v>45535</v>
      </c>
      <c r="H570" s="8" t="s">
        <v>2060</v>
      </c>
      <c r="I570" s="9" t="n">
        <f aca="false">DATE(2000+VALUE(MID(H570,7,2)),VALUE(MID(H570,4,2)),VALUE(LEFT(H570,2)))</f>
        <v>45536</v>
      </c>
      <c r="J570" s="9"/>
      <c r="K570" s="10" t="n">
        <v>780000</v>
      </c>
      <c r="L570" s="10" t="n">
        <v>30000</v>
      </c>
      <c r="M570" s="10" t="n">
        <v>810000</v>
      </c>
      <c r="N570" s="10" t="n">
        <v>0</v>
      </c>
      <c r="O570" s="10" t="n">
        <v>0</v>
      </c>
      <c r="P570" s="10" t="n">
        <v>0</v>
      </c>
      <c r="Q570" s="10" t="n">
        <v>810000</v>
      </c>
      <c r="R570" s="10" t="n">
        <v>0</v>
      </c>
      <c r="S570" s="10" t="n">
        <v>0</v>
      </c>
      <c r="T570" s="7"/>
      <c r="U570" s="7"/>
      <c r="V570" s="7"/>
      <c r="W570" s="7" t="s">
        <v>43</v>
      </c>
      <c r="X570" s="7"/>
      <c r="Y570" s="7" t="s">
        <v>37</v>
      </c>
      <c r="Z570" s="7" t="s">
        <v>2061</v>
      </c>
      <c r="AA570" s="7"/>
      <c r="AB570" s="10" t="n">
        <v>780000</v>
      </c>
      <c r="AC570" s="10" t="n">
        <v>1</v>
      </c>
    </row>
    <row r="571" customFormat="false" ht="15.75" hidden="true" customHeight="true" outlineLevel="0" collapsed="false">
      <c r="A571" s="6"/>
      <c r="B571" s="7" t="s">
        <v>1767</v>
      </c>
      <c r="C571" s="7" t="s">
        <v>60</v>
      </c>
      <c r="D571" s="7" t="s">
        <v>116</v>
      </c>
      <c r="E571" s="7" t="s">
        <v>2062</v>
      </c>
      <c r="F571" s="8" t="s">
        <v>2063</v>
      </c>
      <c r="G571" s="9" t="n">
        <f aca="false">DATE(2000+VALUE(MID(F571,7,2)),VALUE(MID(F571,4,2)),VALUE(LEFT(F571,2)))</f>
        <v>45537</v>
      </c>
      <c r="H571" s="8" t="s">
        <v>2064</v>
      </c>
      <c r="I571" s="9" t="n">
        <f aca="false">DATE(2000+VALUE(MID(H571,7,2)),VALUE(MID(H571,4,2)),VALUE(LEFT(H571,2)))</f>
        <v>45537</v>
      </c>
      <c r="J571" s="9"/>
      <c r="K571" s="10" t="n">
        <v>635760</v>
      </c>
      <c r="L571" s="10" t="n">
        <v>0</v>
      </c>
      <c r="M571" s="10" t="n">
        <v>635760</v>
      </c>
      <c r="N571" s="10" t="n">
        <v>0</v>
      </c>
      <c r="O571" s="10" t="n">
        <v>0</v>
      </c>
      <c r="P571" s="10" t="n">
        <v>0</v>
      </c>
      <c r="Q571" s="10" t="n">
        <v>635760</v>
      </c>
      <c r="R571" s="10" t="n">
        <v>0</v>
      </c>
      <c r="S571" s="10" t="n">
        <v>0</v>
      </c>
      <c r="T571" s="7"/>
      <c r="U571" s="7"/>
      <c r="V571" s="7"/>
      <c r="W571" s="7" t="s">
        <v>49</v>
      </c>
      <c r="X571" s="7"/>
      <c r="Y571" s="7" t="s">
        <v>37</v>
      </c>
      <c r="Z571" s="7" t="s">
        <v>2065</v>
      </c>
      <c r="AA571" s="7" t="s">
        <v>2066</v>
      </c>
      <c r="AB571" s="10" t="n">
        <v>635760</v>
      </c>
      <c r="AC571" s="10" t="n">
        <v>1</v>
      </c>
    </row>
    <row r="572" customFormat="false" ht="15.75" hidden="true" customHeight="true" outlineLevel="0" collapsed="false">
      <c r="A572" s="6"/>
      <c r="B572" s="7" t="s">
        <v>1710</v>
      </c>
      <c r="C572" s="7" t="s">
        <v>31</v>
      </c>
      <c r="D572" s="7" t="s">
        <v>105</v>
      </c>
      <c r="E572" s="7" t="s">
        <v>2067</v>
      </c>
      <c r="F572" s="8" t="s">
        <v>2068</v>
      </c>
      <c r="G572" s="9" t="n">
        <f aca="false">DATE(2000+VALUE(MID(F572,7,2)),VALUE(MID(F572,4,2)),VALUE(LEFT(F572,2)))</f>
        <v>45535</v>
      </c>
      <c r="H572" s="8" t="s">
        <v>2069</v>
      </c>
      <c r="I572" s="9" t="n">
        <f aca="false">DATE(2000+VALUE(MID(H572,7,2)),VALUE(MID(H572,4,2)),VALUE(LEFT(H572,2)))</f>
        <v>45537</v>
      </c>
      <c r="J572" s="9"/>
      <c r="K572" s="10" t="n">
        <v>1750000</v>
      </c>
      <c r="L572" s="10" t="n">
        <v>0</v>
      </c>
      <c r="M572" s="10" t="n">
        <v>1750000</v>
      </c>
      <c r="N572" s="10" t="n">
        <v>0</v>
      </c>
      <c r="O572" s="10" t="n">
        <v>0</v>
      </c>
      <c r="P572" s="10" t="n">
        <v>0</v>
      </c>
      <c r="Q572" s="10" t="n">
        <v>1750000</v>
      </c>
      <c r="R572" s="10" t="n">
        <v>0</v>
      </c>
      <c r="S572" s="10" t="n">
        <v>0</v>
      </c>
      <c r="T572" s="7"/>
      <c r="U572" s="7"/>
      <c r="V572" s="7"/>
      <c r="W572" s="7" t="s">
        <v>43</v>
      </c>
      <c r="X572" s="7"/>
      <c r="Y572" s="7" t="s">
        <v>37</v>
      </c>
      <c r="Z572" s="7" t="s">
        <v>2070</v>
      </c>
      <c r="AA572" s="7"/>
      <c r="AB572" s="10" t="n">
        <v>875000</v>
      </c>
      <c r="AC572" s="10" t="n">
        <v>2</v>
      </c>
    </row>
    <row r="573" customFormat="false" ht="15.75" hidden="true" customHeight="true" outlineLevel="0" collapsed="false">
      <c r="A573" s="6"/>
      <c r="B573" s="7" t="s">
        <v>1712</v>
      </c>
      <c r="C573" s="7" t="s">
        <v>65</v>
      </c>
      <c r="D573" s="7" t="s">
        <v>87</v>
      </c>
      <c r="E573" s="7" t="s">
        <v>2071</v>
      </c>
      <c r="F573" s="8" t="s">
        <v>2072</v>
      </c>
      <c r="G573" s="9" t="n">
        <f aca="false">DATE(2000+VALUE(MID(F573,7,2)),VALUE(MID(F573,4,2)),VALUE(LEFT(F573,2)))</f>
        <v>45536</v>
      </c>
      <c r="H573" s="8" t="s">
        <v>2073</v>
      </c>
      <c r="I573" s="9" t="n">
        <f aca="false">DATE(2000+VALUE(MID(H573,7,2)),VALUE(MID(H573,4,2)),VALUE(LEFT(H573,2)))</f>
        <v>45537</v>
      </c>
      <c r="J573" s="9"/>
      <c r="K573" s="10" t="n">
        <v>710000</v>
      </c>
      <c r="L573" s="10" t="n">
        <v>0</v>
      </c>
      <c r="M573" s="10" t="n">
        <v>710000</v>
      </c>
      <c r="N573" s="10" t="n">
        <v>0</v>
      </c>
      <c r="O573" s="10" t="n">
        <v>710000</v>
      </c>
      <c r="P573" s="10" t="n">
        <v>0</v>
      </c>
      <c r="Q573" s="10" t="n">
        <v>0</v>
      </c>
      <c r="R573" s="10" t="n">
        <v>0</v>
      </c>
      <c r="S573" s="10" t="n">
        <v>0</v>
      </c>
      <c r="T573" s="7"/>
      <c r="U573" s="7"/>
      <c r="V573" s="7"/>
      <c r="W573" s="7" t="s">
        <v>43</v>
      </c>
      <c r="X573" s="7"/>
      <c r="Y573" s="7" t="s">
        <v>37</v>
      </c>
      <c r="Z573" s="7" t="s">
        <v>2074</v>
      </c>
      <c r="AA573" s="7"/>
      <c r="AB573" s="10" t="n">
        <v>710000</v>
      </c>
      <c r="AC573" s="10" t="n">
        <v>1</v>
      </c>
    </row>
    <row r="574" customFormat="false" ht="15.75" hidden="true" customHeight="true" outlineLevel="0" collapsed="false">
      <c r="A574" s="6"/>
      <c r="B574" s="7" t="s">
        <v>1712</v>
      </c>
      <c r="C574" s="7" t="s">
        <v>71</v>
      </c>
      <c r="D574" s="7" t="s">
        <v>914</v>
      </c>
      <c r="E574" s="7" t="s">
        <v>2075</v>
      </c>
      <c r="F574" s="8" t="s">
        <v>2072</v>
      </c>
      <c r="G574" s="9" t="n">
        <f aca="false">DATE(2000+VALUE(MID(F574,7,2)),VALUE(MID(F574,4,2)),VALUE(LEFT(F574,2)))</f>
        <v>45536</v>
      </c>
      <c r="H574" s="8" t="s">
        <v>2073</v>
      </c>
      <c r="I574" s="9" t="n">
        <f aca="false">DATE(2000+VALUE(MID(H574,7,2)),VALUE(MID(H574,4,2)),VALUE(LEFT(H574,2)))</f>
        <v>45537</v>
      </c>
      <c r="J574" s="9"/>
      <c r="K574" s="10" t="n">
        <v>810000</v>
      </c>
      <c r="L574" s="10" t="n">
        <v>0</v>
      </c>
      <c r="M574" s="10" t="n">
        <v>810000</v>
      </c>
      <c r="N574" s="10" t="n">
        <v>0</v>
      </c>
      <c r="O574" s="10" t="n">
        <v>160000</v>
      </c>
      <c r="P574" s="10" t="n">
        <v>0</v>
      </c>
      <c r="Q574" s="10" t="n">
        <v>650000</v>
      </c>
      <c r="R574" s="10" t="n">
        <v>0</v>
      </c>
      <c r="S574" s="10" t="n">
        <v>0</v>
      </c>
      <c r="T574" s="7"/>
      <c r="U574" s="7"/>
      <c r="V574" s="7"/>
      <c r="W574" s="7" t="s">
        <v>43</v>
      </c>
      <c r="X574" s="7"/>
      <c r="Y574" s="7" t="s">
        <v>37</v>
      </c>
      <c r="Z574" s="7" t="s">
        <v>2076</v>
      </c>
      <c r="AA574" s="7"/>
      <c r="AB574" s="10" t="n">
        <v>810000</v>
      </c>
      <c r="AC574" s="10" t="n">
        <v>1</v>
      </c>
    </row>
    <row r="575" customFormat="false" ht="15.75" hidden="true" customHeight="true" outlineLevel="0" collapsed="false">
      <c r="A575" s="6"/>
      <c r="B575" s="7" t="s">
        <v>1712</v>
      </c>
      <c r="C575" s="7" t="s">
        <v>31</v>
      </c>
      <c r="D575" s="7" t="s">
        <v>32</v>
      </c>
      <c r="E575" s="7" t="s">
        <v>2077</v>
      </c>
      <c r="F575" s="8" t="s">
        <v>2072</v>
      </c>
      <c r="G575" s="9" t="n">
        <f aca="false">DATE(2000+VALUE(MID(F575,7,2)),VALUE(MID(F575,4,2)),VALUE(LEFT(F575,2)))</f>
        <v>45536</v>
      </c>
      <c r="H575" s="8" t="s">
        <v>2073</v>
      </c>
      <c r="I575" s="9" t="n">
        <f aca="false">DATE(2000+VALUE(MID(H575,7,2)),VALUE(MID(H575,4,2)),VALUE(LEFT(H575,2)))</f>
        <v>45537</v>
      </c>
      <c r="J575" s="9"/>
      <c r="K575" s="10" t="n">
        <v>810000</v>
      </c>
      <c r="L575" s="10" t="n">
        <v>0</v>
      </c>
      <c r="M575" s="10" t="n">
        <v>810000</v>
      </c>
      <c r="N575" s="10" t="n">
        <v>0</v>
      </c>
      <c r="O575" s="10" t="n">
        <v>210000</v>
      </c>
      <c r="P575" s="10" t="n">
        <v>0</v>
      </c>
      <c r="Q575" s="10" t="n">
        <v>600000</v>
      </c>
      <c r="R575" s="10" t="n">
        <v>0</v>
      </c>
      <c r="S575" s="10" t="n">
        <v>0</v>
      </c>
      <c r="T575" s="7"/>
      <c r="U575" s="7"/>
      <c r="V575" s="7"/>
      <c r="W575" s="7" t="s">
        <v>43</v>
      </c>
      <c r="X575" s="7"/>
      <c r="Y575" s="7" t="s">
        <v>37</v>
      </c>
      <c r="Z575" s="7" t="s">
        <v>2078</v>
      </c>
      <c r="AA575" s="7"/>
      <c r="AB575" s="10" t="n">
        <v>810000</v>
      </c>
      <c r="AC575" s="10" t="n">
        <v>1</v>
      </c>
    </row>
    <row r="576" customFormat="false" ht="15.75" hidden="true" customHeight="true" outlineLevel="0" collapsed="false">
      <c r="A576" s="6"/>
      <c r="B576" s="7" t="s">
        <v>1738</v>
      </c>
      <c r="C576" s="7" t="s">
        <v>31</v>
      </c>
      <c r="D576" s="7" t="s">
        <v>105</v>
      </c>
      <c r="E576" s="7" t="s">
        <v>2079</v>
      </c>
      <c r="F576" s="8" t="s">
        <v>2080</v>
      </c>
      <c r="G576" s="9" t="n">
        <f aca="false">DATE(2000+VALUE(MID(F576,7,2)),VALUE(MID(F576,4,2)),VALUE(LEFT(F576,2)))</f>
        <v>45537</v>
      </c>
      <c r="H576" s="8" t="s">
        <v>2081</v>
      </c>
      <c r="I576" s="9" t="n">
        <f aca="false">DATE(2000+VALUE(MID(H576,7,2)),VALUE(MID(H576,4,2)),VALUE(LEFT(H576,2)))</f>
        <v>45537</v>
      </c>
      <c r="J576" s="9"/>
      <c r="K576" s="10" t="n">
        <v>400000</v>
      </c>
      <c r="L576" s="10" t="n">
        <v>0</v>
      </c>
      <c r="M576" s="10" t="n">
        <v>400000</v>
      </c>
      <c r="N576" s="10" t="n">
        <v>0</v>
      </c>
      <c r="O576" s="10" t="n">
        <v>400000</v>
      </c>
      <c r="P576" s="10" t="n">
        <v>0</v>
      </c>
      <c r="Q576" s="10" t="n">
        <v>0</v>
      </c>
      <c r="R576" s="10" t="n">
        <v>0</v>
      </c>
      <c r="S576" s="10" t="n">
        <v>0</v>
      </c>
      <c r="T576" s="7"/>
      <c r="U576" s="7"/>
      <c r="V576" s="7"/>
      <c r="W576" s="7" t="s">
        <v>43</v>
      </c>
      <c r="X576" s="7"/>
      <c r="Y576" s="7" t="s">
        <v>37</v>
      </c>
      <c r="Z576" s="7" t="s">
        <v>2082</v>
      </c>
      <c r="AA576" s="7"/>
      <c r="AB576" s="10" t="n">
        <v>400000</v>
      </c>
      <c r="AC576" s="10" t="n">
        <v>1</v>
      </c>
    </row>
    <row r="577" customFormat="false" ht="15.75" hidden="true" customHeight="true" outlineLevel="0" collapsed="false">
      <c r="A577" s="6"/>
      <c r="B577" s="7" t="s">
        <v>1712</v>
      </c>
      <c r="C577" s="7" t="s">
        <v>71</v>
      </c>
      <c r="D577" s="7" t="s">
        <v>72</v>
      </c>
      <c r="E577" s="7" t="s">
        <v>2083</v>
      </c>
      <c r="F577" s="8" t="s">
        <v>2072</v>
      </c>
      <c r="G577" s="9" t="n">
        <f aca="false">DATE(2000+VALUE(MID(F577,7,2)),VALUE(MID(F577,4,2)),VALUE(LEFT(F577,2)))</f>
        <v>45536</v>
      </c>
      <c r="H577" s="8" t="s">
        <v>2084</v>
      </c>
      <c r="I577" s="9" t="n">
        <f aca="false">DATE(2000+VALUE(MID(H577,7,2)),VALUE(MID(H577,4,2)),VALUE(LEFT(H577,2)))</f>
        <v>45537</v>
      </c>
      <c r="J577" s="9"/>
      <c r="K577" s="10" t="n">
        <v>990000</v>
      </c>
      <c r="L577" s="10" t="n">
        <v>0</v>
      </c>
      <c r="M577" s="10" t="n">
        <v>990000</v>
      </c>
      <c r="N577" s="10" t="n">
        <v>0</v>
      </c>
      <c r="O577" s="10" t="n">
        <v>990000</v>
      </c>
      <c r="P577" s="10" t="n">
        <v>0</v>
      </c>
      <c r="Q577" s="10" t="n">
        <v>0</v>
      </c>
      <c r="R577" s="10" t="n">
        <v>0</v>
      </c>
      <c r="S577" s="10" t="n">
        <v>0</v>
      </c>
      <c r="T577" s="7"/>
      <c r="U577" s="7"/>
      <c r="V577" s="7"/>
      <c r="W577" s="7" t="s">
        <v>43</v>
      </c>
      <c r="X577" s="7"/>
      <c r="Y577" s="7" t="s">
        <v>37</v>
      </c>
      <c r="Z577" s="7" t="s">
        <v>2085</v>
      </c>
      <c r="AA577" s="7"/>
      <c r="AB577" s="10" t="n">
        <v>990000</v>
      </c>
      <c r="AC577" s="10" t="n">
        <v>1</v>
      </c>
    </row>
    <row r="578" customFormat="false" ht="15.75" hidden="true" customHeight="true" outlineLevel="0" collapsed="false">
      <c r="A578" s="6"/>
      <c r="B578" s="7" t="s">
        <v>1747</v>
      </c>
      <c r="C578" s="7" t="s">
        <v>65</v>
      </c>
      <c r="D578" s="7" t="s">
        <v>66</v>
      </c>
      <c r="E578" s="7" t="s">
        <v>2086</v>
      </c>
      <c r="F578" s="8" t="s">
        <v>2087</v>
      </c>
      <c r="G578" s="9" t="n">
        <f aca="false">DATE(2000+VALUE(MID(F578,7,2)),VALUE(MID(F578,4,2)),VALUE(LEFT(F578,2)))</f>
        <v>45537</v>
      </c>
      <c r="H578" s="8" t="s">
        <v>2088</v>
      </c>
      <c r="I578" s="9" t="n">
        <f aca="false">DATE(2000+VALUE(MID(H578,7,2)),VALUE(MID(H578,4,2)),VALUE(LEFT(H578,2)))</f>
        <v>45538</v>
      </c>
      <c r="J578" s="9"/>
      <c r="K578" s="10" t="n">
        <v>520000</v>
      </c>
      <c r="L578" s="10" t="n">
        <v>0</v>
      </c>
      <c r="M578" s="10" t="n">
        <v>520000</v>
      </c>
      <c r="N578" s="10" t="n">
        <v>0</v>
      </c>
      <c r="O578" s="10" t="n">
        <v>520000</v>
      </c>
      <c r="P578" s="10" t="n">
        <v>0</v>
      </c>
      <c r="Q578" s="10" t="n">
        <v>0</v>
      </c>
      <c r="R578" s="10" t="n">
        <v>0</v>
      </c>
      <c r="S578" s="10" t="n">
        <v>0</v>
      </c>
      <c r="T578" s="7"/>
      <c r="U578" s="7"/>
      <c r="V578" s="7"/>
      <c r="W578" s="7" t="s">
        <v>43</v>
      </c>
      <c r="X578" s="7"/>
      <c r="Y578" s="7" t="s">
        <v>37</v>
      </c>
      <c r="Z578" s="7" t="s">
        <v>2089</v>
      </c>
      <c r="AA578" s="7"/>
      <c r="AB578" s="10" t="n">
        <v>520000</v>
      </c>
      <c r="AC578" s="10" t="n">
        <v>1</v>
      </c>
    </row>
    <row r="579" customFormat="false" ht="15.75" hidden="true" customHeight="true" outlineLevel="0" collapsed="false">
      <c r="A579" s="6"/>
      <c r="B579" s="7" t="s">
        <v>2090</v>
      </c>
      <c r="C579" s="7" t="s">
        <v>65</v>
      </c>
      <c r="D579" s="7" t="s">
        <v>87</v>
      </c>
      <c r="E579" s="7" t="s">
        <v>2091</v>
      </c>
      <c r="F579" s="8" t="s">
        <v>2092</v>
      </c>
      <c r="G579" s="9" t="n">
        <f aca="false">DATE(2000+VALUE(MID(F579,7,2)),VALUE(MID(F579,4,2)),VALUE(LEFT(F579,2)))</f>
        <v>45537</v>
      </c>
      <c r="H579" s="8" t="s">
        <v>2088</v>
      </c>
      <c r="I579" s="9" t="n">
        <f aca="false">DATE(2000+VALUE(MID(H579,7,2)),VALUE(MID(H579,4,2)),VALUE(LEFT(H579,2)))</f>
        <v>45538</v>
      </c>
      <c r="J579" s="9"/>
      <c r="K579" s="10" t="n">
        <v>500000</v>
      </c>
      <c r="L579" s="10" t="n">
        <v>0</v>
      </c>
      <c r="M579" s="10" t="n">
        <v>500000</v>
      </c>
      <c r="N579" s="10" t="n">
        <v>0</v>
      </c>
      <c r="O579" s="10" t="n">
        <v>0</v>
      </c>
      <c r="P579" s="10" t="n">
        <v>0</v>
      </c>
      <c r="Q579" s="10" t="n">
        <v>500000</v>
      </c>
      <c r="R579" s="10" t="n">
        <v>0</v>
      </c>
      <c r="S579" s="10" t="n">
        <v>0</v>
      </c>
      <c r="T579" s="7"/>
      <c r="U579" s="7"/>
      <c r="V579" s="7"/>
      <c r="W579" s="7" t="s">
        <v>43</v>
      </c>
      <c r="X579" s="7"/>
      <c r="Y579" s="7" t="s">
        <v>37</v>
      </c>
      <c r="Z579" s="7" t="s">
        <v>2093</v>
      </c>
      <c r="AA579" s="7"/>
      <c r="AB579" s="10" t="n">
        <v>500000</v>
      </c>
      <c r="AC579" s="10" t="n">
        <v>1</v>
      </c>
    </row>
    <row r="580" customFormat="false" ht="15.75" hidden="true" customHeight="true" outlineLevel="0" collapsed="false">
      <c r="A580" s="6"/>
      <c r="B580" s="7" t="s">
        <v>1678</v>
      </c>
      <c r="C580" s="7" t="s">
        <v>65</v>
      </c>
      <c r="D580" s="7" t="s">
        <v>82</v>
      </c>
      <c r="E580" s="7" t="s">
        <v>2094</v>
      </c>
      <c r="F580" s="8" t="s">
        <v>2095</v>
      </c>
      <c r="G580" s="9" t="n">
        <f aca="false">DATE(2000+VALUE(MID(F580,7,2)),VALUE(MID(F580,4,2)),VALUE(LEFT(F580,2)))</f>
        <v>45535</v>
      </c>
      <c r="H580" s="8" t="s">
        <v>2096</v>
      </c>
      <c r="I580" s="9" t="n">
        <f aca="false">DATE(2000+VALUE(MID(H580,7,2)),VALUE(MID(H580,4,2)),VALUE(LEFT(H580,2)))</f>
        <v>45538</v>
      </c>
      <c r="J580" s="9"/>
      <c r="K580" s="10" t="n">
        <v>2200000</v>
      </c>
      <c r="L580" s="10" t="n">
        <v>0</v>
      </c>
      <c r="M580" s="10" t="n">
        <v>2200000</v>
      </c>
      <c r="N580" s="10" t="n">
        <v>0</v>
      </c>
      <c r="O580" s="10" t="n">
        <v>2200000</v>
      </c>
      <c r="P580" s="10" t="n">
        <v>0</v>
      </c>
      <c r="Q580" s="10" t="n">
        <v>0</v>
      </c>
      <c r="R580" s="10" t="n">
        <v>0</v>
      </c>
      <c r="S580" s="10" t="n">
        <v>0</v>
      </c>
      <c r="T580" s="7"/>
      <c r="U580" s="7"/>
      <c r="V580" s="7"/>
      <c r="W580" s="7" t="s">
        <v>43</v>
      </c>
      <c r="X580" s="7"/>
      <c r="Y580" s="7" t="s">
        <v>37</v>
      </c>
      <c r="Z580" s="7" t="s">
        <v>2097</v>
      </c>
      <c r="AA580" s="7"/>
      <c r="AB580" s="10" t="n">
        <v>733333.3333</v>
      </c>
      <c r="AC580" s="10" t="n">
        <v>3</v>
      </c>
    </row>
    <row r="581" customFormat="false" ht="15.75" hidden="true" customHeight="true" outlineLevel="0" collapsed="false">
      <c r="A581" s="6"/>
      <c r="B581" s="7" t="s">
        <v>1764</v>
      </c>
      <c r="C581" s="7" t="s">
        <v>65</v>
      </c>
      <c r="D581" s="7" t="s">
        <v>96</v>
      </c>
      <c r="E581" s="7" t="s">
        <v>2098</v>
      </c>
      <c r="F581" s="8" t="s">
        <v>2099</v>
      </c>
      <c r="G581" s="9" t="n">
        <f aca="false">DATE(2000+VALUE(MID(F581,7,2)),VALUE(MID(F581,4,2)),VALUE(LEFT(F581,2)))</f>
        <v>45535</v>
      </c>
      <c r="H581" s="8" t="s">
        <v>2100</v>
      </c>
      <c r="I581" s="9" t="n">
        <f aca="false">DATE(2000+VALUE(MID(H581,7,2)),VALUE(MID(H581,4,2)),VALUE(LEFT(H581,2)))</f>
        <v>45540</v>
      </c>
      <c r="J581" s="9"/>
      <c r="K581" s="10" t="n">
        <v>2650000</v>
      </c>
      <c r="L581" s="10" t="n">
        <v>0</v>
      </c>
      <c r="M581" s="10" t="n">
        <v>2650000</v>
      </c>
      <c r="N581" s="10" t="n">
        <v>0</v>
      </c>
      <c r="O581" s="10" t="n">
        <v>2650000</v>
      </c>
      <c r="P581" s="10" t="n">
        <v>0</v>
      </c>
      <c r="Q581" s="10" t="n">
        <v>0</v>
      </c>
      <c r="R581" s="10" t="n">
        <v>0</v>
      </c>
      <c r="S581" s="10" t="n">
        <v>0</v>
      </c>
      <c r="T581" s="7"/>
      <c r="U581" s="7"/>
      <c r="V581" s="7"/>
      <c r="W581" s="7" t="s">
        <v>43</v>
      </c>
      <c r="X581" s="7"/>
      <c r="Y581" s="7" t="s">
        <v>37</v>
      </c>
      <c r="Z581" s="7" t="s">
        <v>2101</v>
      </c>
      <c r="AA581" s="7"/>
      <c r="AB581" s="10" t="n">
        <v>530000</v>
      </c>
      <c r="AC581" s="10" t="n">
        <v>5</v>
      </c>
    </row>
    <row r="582" customFormat="false" ht="15.75" hidden="true" customHeight="true" outlineLevel="0" collapsed="false">
      <c r="A582" s="6"/>
      <c r="B582" s="7" t="s">
        <v>1740</v>
      </c>
      <c r="C582" s="7" t="s">
        <v>65</v>
      </c>
      <c r="D582" s="7" t="s">
        <v>87</v>
      </c>
      <c r="E582" s="7" t="s">
        <v>1188</v>
      </c>
      <c r="F582" s="8" t="s">
        <v>2102</v>
      </c>
      <c r="G582" s="9" t="n">
        <f aca="false">DATE(2000+VALUE(MID(F582,7,2)),VALUE(MID(F582,4,2)),VALUE(LEFT(F582,2)))</f>
        <v>45538</v>
      </c>
      <c r="H582" s="8" t="s">
        <v>2100</v>
      </c>
      <c r="I582" s="9" t="n">
        <f aca="false">DATE(2000+VALUE(MID(H582,7,2)),VALUE(MID(H582,4,2)),VALUE(LEFT(H582,2)))</f>
        <v>45540</v>
      </c>
      <c r="J582" s="9"/>
      <c r="K582" s="10" t="n">
        <v>1100000</v>
      </c>
      <c r="L582" s="10" t="n">
        <v>0</v>
      </c>
      <c r="M582" s="10" t="n">
        <v>1100000</v>
      </c>
      <c r="N582" s="10" t="n">
        <v>0</v>
      </c>
      <c r="O582" s="10" t="n">
        <v>1100000</v>
      </c>
      <c r="P582" s="10" t="n">
        <v>0</v>
      </c>
      <c r="Q582" s="10" t="n">
        <v>0</v>
      </c>
      <c r="R582" s="10" t="n">
        <v>0</v>
      </c>
      <c r="S582" s="10" t="n">
        <v>0</v>
      </c>
      <c r="T582" s="7"/>
      <c r="U582" s="7"/>
      <c r="V582" s="7"/>
      <c r="W582" s="7" t="s">
        <v>43</v>
      </c>
      <c r="X582" s="7"/>
      <c r="Y582" s="7" t="s">
        <v>37</v>
      </c>
      <c r="Z582" s="7" t="s">
        <v>2103</v>
      </c>
      <c r="AA582" s="7"/>
      <c r="AB582" s="10" t="n">
        <v>550000</v>
      </c>
      <c r="AC582" s="10" t="n">
        <v>2</v>
      </c>
    </row>
    <row r="583" customFormat="false" ht="15.75" hidden="true" customHeight="true" outlineLevel="0" collapsed="false">
      <c r="A583" s="6"/>
      <c r="B583" s="7" t="s">
        <v>1781</v>
      </c>
      <c r="C583" s="7" t="s">
        <v>31</v>
      </c>
      <c r="D583" s="7" t="s">
        <v>337</v>
      </c>
      <c r="E583" s="7" t="s">
        <v>2104</v>
      </c>
      <c r="F583" s="8" t="s">
        <v>2105</v>
      </c>
      <c r="G583" s="9" t="n">
        <f aca="false">DATE(2000+VALUE(MID(F583,7,2)),VALUE(MID(F583,4,2)),VALUE(LEFT(F583,2)))</f>
        <v>45538</v>
      </c>
      <c r="H583" s="8" t="s">
        <v>2106</v>
      </c>
      <c r="I583" s="9" t="n">
        <f aca="false">DATE(2000+VALUE(MID(H583,7,2)),VALUE(MID(H583,4,2)),VALUE(LEFT(H583,2)))</f>
        <v>45540</v>
      </c>
      <c r="J583" s="9"/>
      <c r="K583" s="10" t="n">
        <v>1666656</v>
      </c>
      <c r="L583" s="10" t="n">
        <v>0</v>
      </c>
      <c r="M583" s="10" t="n">
        <v>1666656</v>
      </c>
      <c r="N583" s="10" t="n">
        <v>0</v>
      </c>
      <c r="O583" s="10" t="n">
        <v>0</v>
      </c>
      <c r="P583" s="10" t="n">
        <v>0</v>
      </c>
      <c r="Q583" s="10" t="n">
        <v>0</v>
      </c>
      <c r="R583" s="10" t="n">
        <v>1666656</v>
      </c>
      <c r="S583" s="10" t="n">
        <v>0</v>
      </c>
      <c r="T583" s="7"/>
      <c r="U583" s="7"/>
      <c r="V583" s="7"/>
      <c r="W583" s="7" t="s">
        <v>49</v>
      </c>
      <c r="X583" s="7"/>
      <c r="Y583" s="7" t="s">
        <v>37</v>
      </c>
      <c r="Z583" s="7" t="s">
        <v>2107</v>
      </c>
      <c r="AA583" s="7" t="s">
        <v>2108</v>
      </c>
      <c r="AB583" s="10" t="n">
        <v>833328</v>
      </c>
      <c r="AC583" s="10" t="n">
        <v>2</v>
      </c>
    </row>
    <row r="584" customFormat="false" ht="15.75" hidden="true" customHeight="true" outlineLevel="0" collapsed="false">
      <c r="A584" s="6"/>
      <c r="B584" s="7" t="s">
        <v>1939</v>
      </c>
      <c r="C584" s="7" t="s">
        <v>65</v>
      </c>
      <c r="D584" s="7" t="s">
        <v>76</v>
      </c>
      <c r="E584" s="7" t="s">
        <v>1768</v>
      </c>
      <c r="F584" s="8" t="s">
        <v>2109</v>
      </c>
      <c r="G584" s="9" t="n">
        <f aca="false">DATE(2000+VALUE(MID(F584,7,2)),VALUE(MID(F584,4,2)),VALUE(LEFT(F584,2)))</f>
        <v>45538</v>
      </c>
      <c r="H584" s="8" t="s">
        <v>2110</v>
      </c>
      <c r="I584" s="9" t="n">
        <f aca="false">DATE(2000+VALUE(MID(H584,7,2)),VALUE(MID(H584,4,2)),VALUE(LEFT(H584,2)))</f>
        <v>45540</v>
      </c>
      <c r="J584" s="9"/>
      <c r="K584" s="10" t="n">
        <v>1100000</v>
      </c>
      <c r="L584" s="10" t="n">
        <v>88000</v>
      </c>
      <c r="M584" s="10" t="n">
        <v>1188000</v>
      </c>
      <c r="N584" s="10" t="n">
        <v>0</v>
      </c>
      <c r="O584" s="10" t="n">
        <v>0</v>
      </c>
      <c r="P584" s="10" t="n">
        <v>0</v>
      </c>
      <c r="Q584" s="10" t="n">
        <v>0</v>
      </c>
      <c r="R584" s="10" t="n">
        <v>1188000</v>
      </c>
      <c r="S584" s="10" t="n">
        <v>0</v>
      </c>
      <c r="T584" s="7"/>
      <c r="U584" s="7"/>
      <c r="V584" s="7"/>
      <c r="W584" s="7" t="s">
        <v>43</v>
      </c>
      <c r="X584" s="7"/>
      <c r="Y584" s="7" t="s">
        <v>37</v>
      </c>
      <c r="Z584" s="7" t="s">
        <v>2111</v>
      </c>
      <c r="AA584" s="7"/>
      <c r="AB584" s="10" t="n">
        <v>550000</v>
      </c>
      <c r="AC584" s="10" t="n">
        <v>2</v>
      </c>
    </row>
    <row r="585" customFormat="false" ht="15.75" hidden="true" customHeight="true" outlineLevel="0" collapsed="false">
      <c r="A585" s="6"/>
      <c r="B585" s="7" t="s">
        <v>1756</v>
      </c>
      <c r="C585" s="7" t="s">
        <v>65</v>
      </c>
      <c r="D585" s="7" t="s">
        <v>66</v>
      </c>
      <c r="E585" s="7" t="s">
        <v>726</v>
      </c>
      <c r="F585" s="8" t="s">
        <v>2112</v>
      </c>
      <c r="G585" s="9" t="n">
        <f aca="false">DATE(2000+VALUE(MID(F585,7,2)),VALUE(MID(F585,4,2)),VALUE(LEFT(F585,2)))</f>
        <v>45539</v>
      </c>
      <c r="H585" s="8" t="s">
        <v>2113</v>
      </c>
      <c r="I585" s="9" t="n">
        <f aca="false">DATE(2000+VALUE(MID(H585,7,2)),VALUE(MID(H585,4,2)),VALUE(LEFT(H585,2)))</f>
        <v>45540</v>
      </c>
      <c r="J585" s="9"/>
      <c r="K585" s="10" t="n">
        <v>560000</v>
      </c>
      <c r="L585" s="10" t="n">
        <v>0</v>
      </c>
      <c r="M585" s="10" t="n">
        <v>560000</v>
      </c>
      <c r="N585" s="10" t="n">
        <v>0</v>
      </c>
      <c r="O585" s="10" t="n">
        <v>60000</v>
      </c>
      <c r="P585" s="10" t="n">
        <v>0</v>
      </c>
      <c r="Q585" s="10" t="n">
        <v>500000</v>
      </c>
      <c r="R585" s="10" t="n">
        <v>0</v>
      </c>
      <c r="S585" s="10" t="n">
        <v>0</v>
      </c>
      <c r="T585" s="7"/>
      <c r="U585" s="7"/>
      <c r="V585" s="7"/>
      <c r="W585" s="7" t="s">
        <v>43</v>
      </c>
      <c r="X585" s="7"/>
      <c r="Y585" s="7" t="s">
        <v>37</v>
      </c>
      <c r="Z585" s="7" t="s">
        <v>2114</v>
      </c>
      <c r="AA585" s="7"/>
      <c r="AB585" s="10" t="n">
        <v>560000</v>
      </c>
      <c r="AC585" s="10" t="n">
        <v>1</v>
      </c>
    </row>
    <row r="586" customFormat="false" ht="15.75" hidden="true" customHeight="true" outlineLevel="0" collapsed="false">
      <c r="A586" s="6"/>
      <c r="B586" s="7" t="s">
        <v>1719</v>
      </c>
      <c r="C586" s="7" t="s">
        <v>31</v>
      </c>
      <c r="D586" s="7" t="s">
        <v>45</v>
      </c>
      <c r="E586" s="7" t="s">
        <v>1407</v>
      </c>
      <c r="F586" s="8" t="s">
        <v>2115</v>
      </c>
      <c r="G586" s="9" t="n">
        <f aca="false">DATE(2000+VALUE(MID(F586,7,2)),VALUE(MID(F586,4,2)),VALUE(LEFT(F586,2)))</f>
        <v>45530</v>
      </c>
      <c r="H586" s="8" t="s">
        <v>2116</v>
      </c>
      <c r="I586" s="9" t="n">
        <f aca="false">DATE(2000+VALUE(MID(H586,7,2)),VALUE(MID(H586,4,2)),VALUE(LEFT(H586,2)))</f>
        <v>45541</v>
      </c>
      <c r="J586" s="9"/>
      <c r="K586" s="10" t="n">
        <v>8360000</v>
      </c>
      <c r="L586" s="10" t="n">
        <v>700000</v>
      </c>
      <c r="M586" s="10" t="n">
        <v>9060000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9060000</v>
      </c>
      <c r="S586" s="10" t="n">
        <v>0</v>
      </c>
      <c r="T586" s="7"/>
      <c r="U586" s="7"/>
      <c r="V586" s="7"/>
      <c r="W586" s="7" t="s">
        <v>43</v>
      </c>
      <c r="X586" s="7"/>
      <c r="Y586" s="7" t="s">
        <v>37</v>
      </c>
      <c r="Z586" s="7" t="s">
        <v>2117</v>
      </c>
      <c r="AA586" s="7"/>
      <c r="AB586" s="10" t="n">
        <v>760000</v>
      </c>
      <c r="AC586" s="10" t="n">
        <v>11</v>
      </c>
    </row>
    <row r="587" customFormat="false" ht="15.75" hidden="true" customHeight="true" outlineLevel="0" collapsed="false">
      <c r="A587" s="6"/>
      <c r="B587" s="7" t="s">
        <v>1834</v>
      </c>
      <c r="C587" s="7" t="s">
        <v>71</v>
      </c>
      <c r="D587" s="7" t="s">
        <v>72</v>
      </c>
      <c r="E587" s="7" t="s">
        <v>2118</v>
      </c>
      <c r="F587" s="8" t="s">
        <v>2119</v>
      </c>
      <c r="G587" s="9" t="n">
        <f aca="false">DATE(2000+VALUE(MID(F587,7,2)),VALUE(MID(F587,4,2)),VALUE(LEFT(F587,2)))</f>
        <v>45540</v>
      </c>
      <c r="H587" s="8" t="s">
        <v>2120</v>
      </c>
      <c r="I587" s="9" t="n">
        <f aca="false">DATE(2000+VALUE(MID(H587,7,2)),VALUE(MID(H587,4,2)),VALUE(LEFT(H587,2)))</f>
        <v>45541</v>
      </c>
      <c r="J587" s="9"/>
      <c r="K587" s="10" t="n">
        <v>620500</v>
      </c>
      <c r="L587" s="10" t="n">
        <v>0</v>
      </c>
      <c r="M587" s="10" t="n">
        <v>620500</v>
      </c>
      <c r="N587" s="10" t="n">
        <v>0</v>
      </c>
      <c r="O587" s="10" t="n">
        <v>0</v>
      </c>
      <c r="P587" s="10" t="n">
        <v>0</v>
      </c>
      <c r="Q587" s="10" t="n">
        <v>0</v>
      </c>
      <c r="R587" s="10" t="n">
        <v>620500</v>
      </c>
      <c r="S587" s="10" t="n">
        <v>0</v>
      </c>
      <c r="T587" s="7"/>
      <c r="U587" s="7"/>
      <c r="V587" s="7"/>
      <c r="W587" s="7" t="s">
        <v>49</v>
      </c>
      <c r="X587" s="7"/>
      <c r="Y587" s="7" t="s">
        <v>37</v>
      </c>
      <c r="Z587" s="7" t="s">
        <v>2121</v>
      </c>
      <c r="AA587" s="7" t="s">
        <v>2122</v>
      </c>
      <c r="AB587" s="10" t="n">
        <v>620500</v>
      </c>
      <c r="AC587" s="10" t="n">
        <v>1</v>
      </c>
    </row>
    <row r="588" customFormat="false" ht="15.75" hidden="true" customHeight="true" outlineLevel="0" collapsed="false">
      <c r="A588" s="6"/>
      <c r="B588" s="7" t="s">
        <v>1792</v>
      </c>
      <c r="C588" s="7" t="s">
        <v>65</v>
      </c>
      <c r="D588" s="7" t="s">
        <v>96</v>
      </c>
      <c r="E588" s="7" t="s">
        <v>2123</v>
      </c>
      <c r="F588" s="8" t="s">
        <v>2124</v>
      </c>
      <c r="G588" s="9" t="n">
        <f aca="false">DATE(2000+VALUE(MID(F588,7,2)),VALUE(MID(F588,4,2)),VALUE(LEFT(F588,2)))</f>
        <v>45540</v>
      </c>
      <c r="H588" s="8" t="s">
        <v>2125</v>
      </c>
      <c r="I588" s="9" t="n">
        <f aca="false">DATE(2000+VALUE(MID(H588,7,2)),VALUE(MID(H588,4,2)),VALUE(LEFT(H588,2)))</f>
        <v>45541</v>
      </c>
      <c r="J588" s="9"/>
      <c r="K588" s="10" t="n">
        <v>500000</v>
      </c>
      <c r="L588" s="10" t="n">
        <v>0</v>
      </c>
      <c r="M588" s="10" t="n">
        <v>500000</v>
      </c>
      <c r="N588" s="10" t="n">
        <v>0</v>
      </c>
      <c r="O588" s="10" t="n">
        <v>0</v>
      </c>
      <c r="P588" s="10" t="n">
        <v>0</v>
      </c>
      <c r="Q588" s="10" t="n">
        <v>500000</v>
      </c>
      <c r="R588" s="10" t="n">
        <v>0</v>
      </c>
      <c r="S588" s="10" t="n">
        <v>0</v>
      </c>
      <c r="T588" s="7"/>
      <c r="U588" s="7"/>
      <c r="V588" s="7"/>
      <c r="W588" s="7" t="s">
        <v>43</v>
      </c>
      <c r="X588" s="7"/>
      <c r="Y588" s="7" t="s">
        <v>37</v>
      </c>
      <c r="Z588" s="7" t="s">
        <v>2126</v>
      </c>
      <c r="AA588" s="7"/>
      <c r="AB588" s="10" t="n">
        <v>500000</v>
      </c>
      <c r="AC588" s="10" t="n">
        <v>1</v>
      </c>
    </row>
    <row r="589" customFormat="false" ht="15.75" hidden="true" customHeight="true" outlineLevel="0" collapsed="false">
      <c r="A589" s="6"/>
      <c r="B589" s="7" t="s">
        <v>1792</v>
      </c>
      <c r="C589" s="7" t="s">
        <v>65</v>
      </c>
      <c r="D589" s="7" t="s">
        <v>76</v>
      </c>
      <c r="E589" s="7" t="s">
        <v>202</v>
      </c>
      <c r="F589" s="8" t="s">
        <v>2124</v>
      </c>
      <c r="G589" s="9" t="n">
        <f aca="false">DATE(2000+VALUE(MID(F589,7,2)),VALUE(MID(F589,4,2)),VALUE(LEFT(F589,2)))</f>
        <v>45540</v>
      </c>
      <c r="H589" s="8" t="s">
        <v>2125</v>
      </c>
      <c r="I589" s="9" t="n">
        <f aca="false">DATE(2000+VALUE(MID(H589,7,2)),VALUE(MID(H589,4,2)),VALUE(LEFT(H589,2)))</f>
        <v>45541</v>
      </c>
      <c r="J589" s="9"/>
      <c r="K589" s="10" t="n">
        <v>500000</v>
      </c>
      <c r="L589" s="10" t="n">
        <v>0</v>
      </c>
      <c r="M589" s="10" t="n">
        <v>500000</v>
      </c>
      <c r="N589" s="10" t="n">
        <v>0</v>
      </c>
      <c r="O589" s="10" t="n">
        <v>0</v>
      </c>
      <c r="P589" s="10" t="n">
        <v>0</v>
      </c>
      <c r="Q589" s="10" t="n">
        <v>500000</v>
      </c>
      <c r="R589" s="10" t="n">
        <v>0</v>
      </c>
      <c r="S589" s="10" t="n">
        <v>0</v>
      </c>
      <c r="T589" s="7"/>
      <c r="U589" s="7"/>
      <c r="V589" s="7"/>
      <c r="W589" s="7" t="s">
        <v>43</v>
      </c>
      <c r="X589" s="7"/>
      <c r="Y589" s="7" t="s">
        <v>37</v>
      </c>
      <c r="Z589" s="7" t="s">
        <v>2127</v>
      </c>
      <c r="AA589" s="7"/>
      <c r="AB589" s="10" t="n">
        <v>500000</v>
      </c>
      <c r="AC589" s="10" t="n">
        <v>1</v>
      </c>
    </row>
    <row r="590" customFormat="false" ht="15.75" hidden="true" customHeight="true" outlineLevel="0" collapsed="false">
      <c r="A590" s="6"/>
      <c r="B590" s="7" t="s">
        <v>1785</v>
      </c>
      <c r="C590" s="7" t="s">
        <v>60</v>
      </c>
      <c r="D590" s="7" t="s">
        <v>173</v>
      </c>
      <c r="E590" s="7" t="s">
        <v>2128</v>
      </c>
      <c r="F590" s="8" t="s">
        <v>2129</v>
      </c>
      <c r="G590" s="9" t="n">
        <f aca="false">DATE(2000+VALUE(MID(F590,7,2)),VALUE(MID(F590,4,2)),VALUE(LEFT(F590,2)))</f>
        <v>45542</v>
      </c>
      <c r="H590" s="8" t="s">
        <v>2130</v>
      </c>
      <c r="I590" s="9" t="n">
        <f aca="false">DATE(2000+VALUE(MID(H590,7,2)),VALUE(MID(H590,4,2)),VALUE(LEFT(H590,2)))</f>
        <v>45542</v>
      </c>
      <c r="J590" s="9"/>
      <c r="K590" s="10" t="n">
        <v>712080</v>
      </c>
      <c r="L590" s="10" t="n">
        <v>0</v>
      </c>
      <c r="M590" s="10" t="n">
        <v>712080</v>
      </c>
      <c r="N590" s="10" t="n">
        <v>0</v>
      </c>
      <c r="O590" s="10" t="n">
        <v>80</v>
      </c>
      <c r="P590" s="10" t="n">
        <v>0</v>
      </c>
      <c r="Q590" s="10" t="n">
        <v>712000</v>
      </c>
      <c r="R590" s="10" t="n">
        <v>0</v>
      </c>
      <c r="S590" s="10" t="n">
        <v>0</v>
      </c>
      <c r="T590" s="7"/>
      <c r="U590" s="7"/>
      <c r="V590" s="7"/>
      <c r="W590" s="7" t="s">
        <v>49</v>
      </c>
      <c r="X590" s="7"/>
      <c r="Y590" s="7" t="s">
        <v>37</v>
      </c>
      <c r="Z590" s="7" t="s">
        <v>2131</v>
      </c>
      <c r="AA590" s="7" t="s">
        <v>2132</v>
      </c>
      <c r="AB590" s="10" t="n">
        <v>712080</v>
      </c>
      <c r="AC590" s="10" t="n">
        <v>1</v>
      </c>
    </row>
    <row r="591" customFormat="false" ht="15.75" hidden="true" customHeight="true" outlineLevel="0" collapsed="false">
      <c r="A591" s="6"/>
      <c r="B591" s="7" t="s">
        <v>2133</v>
      </c>
      <c r="C591" s="7" t="s">
        <v>65</v>
      </c>
      <c r="D591" s="7" t="s">
        <v>66</v>
      </c>
      <c r="E591" s="7" t="s">
        <v>2134</v>
      </c>
      <c r="F591" s="8" t="s">
        <v>2135</v>
      </c>
      <c r="G591" s="9" t="n">
        <f aca="false">DATE(2000+VALUE(MID(F591,7,2)),VALUE(MID(F591,4,2)),VALUE(LEFT(F591,2)))</f>
        <v>45541</v>
      </c>
      <c r="H591" s="8" t="s">
        <v>2136</v>
      </c>
      <c r="I591" s="9" t="n">
        <f aca="false">DATE(2000+VALUE(MID(H591,7,2)),VALUE(MID(H591,4,2)),VALUE(LEFT(H591,2)))</f>
        <v>45542</v>
      </c>
      <c r="J591" s="9"/>
      <c r="K591" s="10" t="n">
        <v>585000</v>
      </c>
      <c r="L591" s="10" t="n">
        <v>0</v>
      </c>
      <c r="M591" s="10" t="n">
        <v>585000</v>
      </c>
      <c r="N591" s="10" t="n">
        <v>0</v>
      </c>
      <c r="O591" s="10" t="n">
        <v>0</v>
      </c>
      <c r="P591" s="10" t="n">
        <v>0</v>
      </c>
      <c r="Q591" s="10" t="n">
        <v>0</v>
      </c>
      <c r="R591" s="10" t="n">
        <v>585000</v>
      </c>
      <c r="S591" s="10" t="n">
        <v>0</v>
      </c>
      <c r="T591" s="7"/>
      <c r="U591" s="7"/>
      <c r="V591" s="7"/>
      <c r="W591" s="7" t="s">
        <v>222</v>
      </c>
      <c r="X591" s="7"/>
      <c r="Y591" s="7" t="s">
        <v>37</v>
      </c>
      <c r="Z591" s="7" t="s">
        <v>2137</v>
      </c>
      <c r="AA591" s="7"/>
      <c r="AB591" s="10" t="n">
        <v>585000</v>
      </c>
      <c r="AC591" s="10" t="n">
        <v>1</v>
      </c>
    </row>
    <row r="592" customFormat="false" ht="15.75" hidden="true" customHeight="true" outlineLevel="0" collapsed="false">
      <c r="A592" s="6"/>
      <c r="B592" s="7" t="s">
        <v>1803</v>
      </c>
      <c r="C592" s="7" t="s">
        <v>60</v>
      </c>
      <c r="D592" s="7" t="s">
        <v>173</v>
      </c>
      <c r="E592" s="7" t="s">
        <v>2138</v>
      </c>
      <c r="F592" s="8" t="s">
        <v>2139</v>
      </c>
      <c r="G592" s="9" t="n">
        <f aca="false">DATE(2000+VALUE(MID(F592,7,2)),VALUE(MID(F592,4,2)),VALUE(LEFT(F592,2)))</f>
        <v>45542</v>
      </c>
      <c r="H592" s="8" t="s">
        <v>2140</v>
      </c>
      <c r="I592" s="9" t="n">
        <f aca="false">DATE(2000+VALUE(MID(H592,7,2)),VALUE(MID(H592,4,2)),VALUE(LEFT(H592,2)))</f>
        <v>45543</v>
      </c>
      <c r="J592" s="9"/>
      <c r="K592" s="10" t="n">
        <v>650000</v>
      </c>
      <c r="L592" s="10" t="n">
        <v>0</v>
      </c>
      <c r="M592" s="10" t="n">
        <v>650000</v>
      </c>
      <c r="N592" s="10" t="n">
        <v>0</v>
      </c>
      <c r="O592" s="10" t="n">
        <v>0</v>
      </c>
      <c r="P592" s="10" t="n">
        <v>0</v>
      </c>
      <c r="Q592" s="10" t="n">
        <v>650000</v>
      </c>
      <c r="R592" s="10" t="n">
        <v>0</v>
      </c>
      <c r="S592" s="10" t="n">
        <v>0</v>
      </c>
      <c r="T592" s="7"/>
      <c r="U592" s="7"/>
      <c r="V592" s="7"/>
      <c r="W592" s="7" t="s">
        <v>43</v>
      </c>
      <c r="X592" s="7"/>
      <c r="Y592" s="7" t="s">
        <v>37</v>
      </c>
      <c r="Z592" s="7" t="s">
        <v>2141</v>
      </c>
      <c r="AA592" s="7"/>
      <c r="AB592" s="10" t="n">
        <v>650000</v>
      </c>
      <c r="AC592" s="10" t="n">
        <v>1</v>
      </c>
    </row>
    <row r="593" customFormat="false" ht="15.75" hidden="true" customHeight="true" outlineLevel="0" collapsed="false">
      <c r="A593" s="6"/>
      <c r="B593" s="7" t="s">
        <v>1812</v>
      </c>
      <c r="C593" s="7" t="s">
        <v>65</v>
      </c>
      <c r="D593" s="7" t="s">
        <v>87</v>
      </c>
      <c r="E593" s="7" t="s">
        <v>2142</v>
      </c>
      <c r="F593" s="8" t="s">
        <v>2143</v>
      </c>
      <c r="G593" s="9" t="n">
        <f aca="false">DATE(2000+VALUE(MID(F593,7,2)),VALUE(MID(F593,4,2)),VALUE(LEFT(F593,2)))</f>
        <v>45542</v>
      </c>
      <c r="H593" s="8" t="s">
        <v>2140</v>
      </c>
      <c r="I593" s="9" t="n">
        <f aca="false">DATE(2000+VALUE(MID(H593,7,2)),VALUE(MID(H593,4,2)),VALUE(LEFT(H593,2)))</f>
        <v>45543</v>
      </c>
      <c r="J593" s="9"/>
      <c r="K593" s="10" t="n">
        <v>584000</v>
      </c>
      <c r="L593" s="10" t="n">
        <v>0</v>
      </c>
      <c r="M593" s="10" t="n">
        <v>534000</v>
      </c>
      <c r="N593" s="10" t="n">
        <v>0</v>
      </c>
      <c r="O593" s="10" t="n">
        <v>0</v>
      </c>
      <c r="P593" s="10" t="n">
        <v>0</v>
      </c>
      <c r="Q593" s="10" t="n">
        <v>534000</v>
      </c>
      <c r="R593" s="10" t="n">
        <v>0</v>
      </c>
      <c r="S593" s="10" t="n">
        <v>0</v>
      </c>
      <c r="T593" s="7"/>
      <c r="U593" s="7"/>
      <c r="V593" s="7"/>
      <c r="W593" s="7" t="s">
        <v>36</v>
      </c>
      <c r="X593" s="7"/>
      <c r="Y593" s="7" t="s">
        <v>37</v>
      </c>
      <c r="Z593" s="7" t="s">
        <v>2144</v>
      </c>
      <c r="AA593" s="7"/>
      <c r="AB593" s="10" t="n">
        <v>584000</v>
      </c>
      <c r="AC593" s="10" t="n">
        <v>1</v>
      </c>
    </row>
    <row r="594" customFormat="false" ht="15.75" hidden="true" customHeight="true" outlineLevel="0" collapsed="false">
      <c r="A594" s="6"/>
      <c r="B594" s="7" t="s">
        <v>1807</v>
      </c>
      <c r="C594" s="7" t="s">
        <v>31</v>
      </c>
      <c r="D594" s="7" t="s">
        <v>45</v>
      </c>
      <c r="E594" s="7" t="s">
        <v>2145</v>
      </c>
      <c r="F594" s="8" t="s">
        <v>2146</v>
      </c>
      <c r="G594" s="9" t="n">
        <f aca="false">DATE(2000+VALUE(MID(F594,7,2)),VALUE(MID(F594,4,2)),VALUE(LEFT(F594,2)))</f>
        <v>45541</v>
      </c>
      <c r="H594" s="8" t="s">
        <v>2147</v>
      </c>
      <c r="I594" s="9" t="n">
        <f aca="false">DATE(2000+VALUE(MID(H594,7,2)),VALUE(MID(H594,4,2)),VALUE(LEFT(H594,2)))</f>
        <v>45543</v>
      </c>
      <c r="J594" s="9"/>
      <c r="K594" s="10" t="n">
        <v>1450000</v>
      </c>
      <c r="L594" s="10" t="n">
        <v>0</v>
      </c>
      <c r="M594" s="10" t="n">
        <v>1450000</v>
      </c>
      <c r="N594" s="10" t="n">
        <v>0</v>
      </c>
      <c r="O594" s="10" t="n">
        <v>0</v>
      </c>
      <c r="P594" s="10" t="n">
        <v>0</v>
      </c>
      <c r="Q594" s="10" t="n">
        <v>1450000</v>
      </c>
      <c r="R594" s="10" t="n">
        <v>0</v>
      </c>
      <c r="S594" s="10" t="n">
        <v>0</v>
      </c>
      <c r="T594" s="7"/>
      <c r="U594" s="7"/>
      <c r="V594" s="7"/>
      <c r="W594" s="7" t="s">
        <v>43</v>
      </c>
      <c r="X594" s="7"/>
      <c r="Y594" s="7" t="s">
        <v>37</v>
      </c>
      <c r="Z594" s="7" t="s">
        <v>2148</v>
      </c>
      <c r="AA594" s="7"/>
      <c r="AB594" s="10" t="n">
        <v>725000</v>
      </c>
      <c r="AC594" s="10" t="n">
        <v>2</v>
      </c>
    </row>
    <row r="595" customFormat="false" ht="15.75" hidden="true" customHeight="true" outlineLevel="0" collapsed="false">
      <c r="A595" s="6"/>
      <c r="B595" s="7" t="s">
        <v>1817</v>
      </c>
      <c r="C595" s="7" t="s">
        <v>65</v>
      </c>
      <c r="D595" s="7" t="s">
        <v>96</v>
      </c>
      <c r="E595" s="7" t="s">
        <v>2149</v>
      </c>
      <c r="F595" s="8" t="s">
        <v>2150</v>
      </c>
      <c r="G595" s="9" t="n">
        <f aca="false">DATE(2000+VALUE(MID(F595,7,2)),VALUE(MID(F595,4,2)),VALUE(LEFT(F595,2)))</f>
        <v>45541</v>
      </c>
      <c r="H595" s="8" t="s">
        <v>2147</v>
      </c>
      <c r="I595" s="9" t="n">
        <f aca="false">DATE(2000+VALUE(MID(H595,7,2)),VALUE(MID(H595,4,2)),VALUE(LEFT(H595,2)))</f>
        <v>45543</v>
      </c>
      <c r="J595" s="9"/>
      <c r="K595" s="10" t="n">
        <v>1300000</v>
      </c>
      <c r="L595" s="10" t="n">
        <v>44000</v>
      </c>
      <c r="M595" s="10" t="n">
        <v>1344000</v>
      </c>
      <c r="N595" s="10" t="n">
        <v>0</v>
      </c>
      <c r="O595" s="10" t="n">
        <v>650000</v>
      </c>
      <c r="P595" s="10" t="n">
        <v>0</v>
      </c>
      <c r="Q595" s="10" t="n">
        <v>694000</v>
      </c>
      <c r="R595" s="10" t="n">
        <v>0</v>
      </c>
      <c r="S595" s="10" t="n">
        <v>0</v>
      </c>
      <c r="T595" s="7"/>
      <c r="U595" s="7"/>
      <c r="V595" s="7"/>
      <c r="W595" s="7" t="s">
        <v>43</v>
      </c>
      <c r="X595" s="7"/>
      <c r="Y595" s="7" t="s">
        <v>37</v>
      </c>
      <c r="Z595" s="7" t="s">
        <v>2151</v>
      </c>
      <c r="AA595" s="7"/>
      <c r="AB595" s="10" t="n">
        <v>650000</v>
      </c>
      <c r="AC595" s="10" t="n">
        <v>2</v>
      </c>
    </row>
    <row r="596" customFormat="false" ht="15.75" hidden="true" customHeight="true" outlineLevel="0" collapsed="false">
      <c r="A596" s="6"/>
      <c r="B596" s="7" t="s">
        <v>1827</v>
      </c>
      <c r="C596" s="7" t="s">
        <v>60</v>
      </c>
      <c r="D596" s="7" t="s">
        <v>61</v>
      </c>
      <c r="E596" s="7" t="s">
        <v>2152</v>
      </c>
      <c r="F596" s="8" t="s">
        <v>2153</v>
      </c>
      <c r="G596" s="9" t="n">
        <f aca="false">DATE(2000+VALUE(MID(F596,7,2)),VALUE(MID(F596,4,2)),VALUE(LEFT(F596,2)))</f>
        <v>45542</v>
      </c>
      <c r="H596" s="8" t="s">
        <v>2147</v>
      </c>
      <c r="I596" s="9" t="n">
        <f aca="false">DATE(2000+VALUE(MID(H596,7,2)),VALUE(MID(H596,4,2)),VALUE(LEFT(H596,2)))</f>
        <v>45543</v>
      </c>
      <c r="J596" s="9"/>
      <c r="K596" s="10" t="n">
        <v>584000</v>
      </c>
      <c r="L596" s="10" t="n">
        <v>15000</v>
      </c>
      <c r="M596" s="10" t="n">
        <v>599000</v>
      </c>
      <c r="N596" s="10" t="n">
        <v>0</v>
      </c>
      <c r="O596" s="10" t="n">
        <v>0</v>
      </c>
      <c r="P596" s="10" t="n">
        <v>0</v>
      </c>
      <c r="Q596" s="10" t="n">
        <v>599000</v>
      </c>
      <c r="R596" s="10" t="n">
        <v>0</v>
      </c>
      <c r="S596" s="10" t="n">
        <v>0</v>
      </c>
      <c r="T596" s="7"/>
      <c r="U596" s="7"/>
      <c r="V596" s="7"/>
      <c r="W596" s="7" t="s">
        <v>36</v>
      </c>
      <c r="X596" s="7"/>
      <c r="Y596" s="7" t="s">
        <v>37</v>
      </c>
      <c r="Z596" s="7" t="s">
        <v>2154</v>
      </c>
      <c r="AA596" s="7"/>
      <c r="AB596" s="10" t="n">
        <v>584000</v>
      </c>
      <c r="AC596" s="10" t="n">
        <v>1</v>
      </c>
    </row>
    <row r="597" customFormat="false" ht="15.75" hidden="true" customHeight="true" outlineLevel="0" collapsed="false">
      <c r="A597" s="6"/>
      <c r="B597" s="7" t="s">
        <v>1796</v>
      </c>
      <c r="C597" s="7" t="s">
        <v>60</v>
      </c>
      <c r="D597" s="7" t="s">
        <v>61</v>
      </c>
      <c r="E597" s="7" t="s">
        <v>2155</v>
      </c>
      <c r="F597" s="8" t="s">
        <v>2156</v>
      </c>
      <c r="G597" s="9" t="n">
        <f aca="false">DATE(2000+VALUE(MID(F597,7,2)),VALUE(MID(F597,4,2)),VALUE(LEFT(F597,2)))</f>
        <v>45543</v>
      </c>
      <c r="H597" s="8" t="s">
        <v>2157</v>
      </c>
      <c r="I597" s="9" t="n">
        <f aca="false">DATE(2000+VALUE(MID(H597,7,2)),VALUE(MID(H597,4,2)),VALUE(LEFT(H597,2)))</f>
        <v>45543</v>
      </c>
      <c r="J597" s="9"/>
      <c r="K597" s="10" t="n">
        <v>350000</v>
      </c>
      <c r="L597" s="10" t="n">
        <v>0</v>
      </c>
      <c r="M597" s="10" t="n">
        <v>350000</v>
      </c>
      <c r="N597" s="10" t="n">
        <v>0</v>
      </c>
      <c r="O597" s="10" t="n">
        <v>350000</v>
      </c>
      <c r="P597" s="10" t="n">
        <v>0</v>
      </c>
      <c r="Q597" s="10" t="n">
        <v>0</v>
      </c>
      <c r="R597" s="10" t="n">
        <v>0</v>
      </c>
      <c r="S597" s="10" t="n">
        <v>0</v>
      </c>
      <c r="T597" s="7"/>
      <c r="U597" s="7"/>
      <c r="V597" s="7"/>
      <c r="W597" s="7" t="s">
        <v>43</v>
      </c>
      <c r="X597" s="7"/>
      <c r="Y597" s="7" t="s">
        <v>37</v>
      </c>
      <c r="Z597" s="7" t="s">
        <v>2158</v>
      </c>
      <c r="AA597" s="7"/>
      <c r="AB597" s="10" t="n">
        <v>350000</v>
      </c>
      <c r="AC597" s="10" t="n">
        <v>1</v>
      </c>
    </row>
    <row r="598" customFormat="false" ht="15.75" hidden="true" customHeight="true" outlineLevel="0" collapsed="false">
      <c r="A598" s="6"/>
      <c r="B598" s="7" t="s">
        <v>1854</v>
      </c>
      <c r="C598" s="7" t="s">
        <v>60</v>
      </c>
      <c r="D598" s="7" t="s">
        <v>173</v>
      </c>
      <c r="E598" s="7" t="s">
        <v>2159</v>
      </c>
      <c r="F598" s="8" t="s">
        <v>2156</v>
      </c>
      <c r="G598" s="9" t="n">
        <f aca="false">DATE(2000+VALUE(MID(F598,7,2)),VALUE(MID(F598,4,2)),VALUE(LEFT(F598,2)))</f>
        <v>45543</v>
      </c>
      <c r="H598" s="8" t="s">
        <v>2160</v>
      </c>
      <c r="I598" s="9" t="n">
        <f aca="false">DATE(2000+VALUE(MID(H598,7,2)),VALUE(MID(H598,4,2)),VALUE(LEFT(H598,2)))</f>
        <v>45543</v>
      </c>
      <c r="J598" s="9"/>
      <c r="K598" s="10" t="n">
        <v>349000</v>
      </c>
      <c r="L598" s="10" t="n">
        <v>0</v>
      </c>
      <c r="M598" s="10" t="n">
        <v>349000</v>
      </c>
      <c r="N598" s="10" t="n">
        <v>0</v>
      </c>
      <c r="O598" s="10" t="n">
        <v>0</v>
      </c>
      <c r="P598" s="10" t="n">
        <v>0</v>
      </c>
      <c r="Q598" s="10" t="n">
        <v>349000</v>
      </c>
      <c r="R598" s="10" t="n">
        <v>0</v>
      </c>
      <c r="S598" s="10" t="n">
        <v>0</v>
      </c>
      <c r="T598" s="7"/>
      <c r="U598" s="7"/>
      <c r="V598" s="7"/>
      <c r="W598" s="7" t="s">
        <v>43</v>
      </c>
      <c r="X598" s="7"/>
      <c r="Y598" s="7" t="s">
        <v>37</v>
      </c>
      <c r="Z598" s="7" t="s">
        <v>2161</v>
      </c>
      <c r="AA598" s="7"/>
      <c r="AB598" s="10" t="n">
        <v>349000</v>
      </c>
      <c r="AC598" s="10" t="n">
        <v>1</v>
      </c>
    </row>
    <row r="599" customFormat="false" ht="15.75" hidden="true" customHeight="true" outlineLevel="0" collapsed="false">
      <c r="A599" s="6"/>
      <c r="B599" s="7" t="s">
        <v>2162</v>
      </c>
      <c r="C599" s="7" t="s">
        <v>60</v>
      </c>
      <c r="D599" s="7" t="s">
        <v>164</v>
      </c>
      <c r="E599" s="7" t="s">
        <v>2163</v>
      </c>
      <c r="F599" s="8" t="s">
        <v>2157</v>
      </c>
      <c r="G599" s="9" t="n">
        <f aca="false">DATE(2000+VALUE(MID(F599,7,2)),VALUE(MID(F599,4,2)),VALUE(LEFT(F599,2)))</f>
        <v>45543</v>
      </c>
      <c r="H599" s="8" t="s">
        <v>2164</v>
      </c>
      <c r="I599" s="9" t="n">
        <f aca="false">DATE(2000+VALUE(MID(H599,7,2)),VALUE(MID(H599,4,2)),VALUE(LEFT(H599,2)))</f>
        <v>45543</v>
      </c>
      <c r="J599" s="9"/>
      <c r="K599" s="10" t="n">
        <v>349000</v>
      </c>
      <c r="L599" s="10" t="n">
        <v>0</v>
      </c>
      <c r="M599" s="10" t="n">
        <v>349000</v>
      </c>
      <c r="N599" s="10" t="n">
        <v>0</v>
      </c>
      <c r="O599" s="10" t="n">
        <v>0</v>
      </c>
      <c r="P599" s="10" t="n">
        <v>0</v>
      </c>
      <c r="Q599" s="10" t="n">
        <v>349000</v>
      </c>
      <c r="R599" s="10" t="n">
        <v>0</v>
      </c>
      <c r="S599" s="10" t="n">
        <v>0</v>
      </c>
      <c r="T599" s="7"/>
      <c r="U599" s="7"/>
      <c r="V599" s="7"/>
      <c r="W599" s="7" t="s">
        <v>43</v>
      </c>
      <c r="X599" s="7"/>
      <c r="Y599" s="7" t="s">
        <v>37</v>
      </c>
      <c r="Z599" s="7" t="s">
        <v>2165</v>
      </c>
      <c r="AA599" s="7"/>
      <c r="AB599" s="10" t="n">
        <v>349000</v>
      </c>
      <c r="AC599" s="10" t="n">
        <v>1</v>
      </c>
    </row>
    <row r="600" customFormat="false" ht="15.75" hidden="true" customHeight="true" outlineLevel="0" collapsed="false">
      <c r="A600" s="6"/>
      <c r="B600" s="7" t="s">
        <v>1729</v>
      </c>
      <c r="C600" s="7" t="s">
        <v>31</v>
      </c>
      <c r="D600" s="7" t="s">
        <v>32</v>
      </c>
      <c r="E600" s="7" t="s">
        <v>2166</v>
      </c>
      <c r="F600" s="8" t="s">
        <v>2167</v>
      </c>
      <c r="G600" s="9" t="n">
        <f aca="false">DATE(2000+VALUE(MID(F600,7,2)),VALUE(MID(F600,4,2)),VALUE(LEFT(F600,2)))</f>
        <v>45539</v>
      </c>
      <c r="H600" s="8" t="s">
        <v>2168</v>
      </c>
      <c r="I600" s="9" t="n">
        <f aca="false">DATE(2000+VALUE(MID(H600,7,2)),VALUE(MID(H600,4,2)),VALUE(LEFT(H600,2)))</f>
        <v>45544</v>
      </c>
      <c r="J600" s="9"/>
      <c r="K600" s="10" t="n">
        <v>3985000</v>
      </c>
      <c r="L600" s="10" t="n">
        <v>950000</v>
      </c>
      <c r="M600" s="10" t="n">
        <v>4935000</v>
      </c>
      <c r="N600" s="10" t="n">
        <v>0</v>
      </c>
      <c r="O600" s="10" t="n">
        <v>0</v>
      </c>
      <c r="P600" s="10" t="n">
        <v>0</v>
      </c>
      <c r="Q600" s="10" t="n">
        <v>4935000</v>
      </c>
      <c r="R600" s="10" t="n">
        <v>0</v>
      </c>
      <c r="S600" s="10" t="n">
        <v>0</v>
      </c>
      <c r="T600" s="7"/>
      <c r="U600" s="7"/>
      <c r="V600" s="7"/>
      <c r="W600" s="7" t="s">
        <v>43</v>
      </c>
      <c r="X600" s="7"/>
      <c r="Y600" s="7" t="s">
        <v>37</v>
      </c>
      <c r="Z600" s="7" t="s">
        <v>2169</v>
      </c>
      <c r="AA600" s="7"/>
      <c r="AB600" s="10" t="n">
        <v>797000</v>
      </c>
      <c r="AC600" s="10" t="n">
        <v>5</v>
      </c>
    </row>
    <row r="601" customFormat="false" ht="15.75" hidden="true" customHeight="true" outlineLevel="0" collapsed="false">
      <c r="A601" s="6"/>
      <c r="B601" s="7" t="s">
        <v>1760</v>
      </c>
      <c r="C601" s="7" t="s">
        <v>65</v>
      </c>
      <c r="D601" s="7" t="s">
        <v>82</v>
      </c>
      <c r="E601" s="7" t="s">
        <v>2170</v>
      </c>
      <c r="F601" s="8" t="s">
        <v>2171</v>
      </c>
      <c r="G601" s="9" t="n">
        <f aca="false">DATE(2000+VALUE(MID(F601,7,2)),VALUE(MID(F601,4,2)),VALUE(LEFT(F601,2)))</f>
        <v>45541</v>
      </c>
      <c r="H601" s="8" t="s">
        <v>2168</v>
      </c>
      <c r="I601" s="9" t="n">
        <f aca="false">DATE(2000+VALUE(MID(H601,7,2)),VALUE(MID(H601,4,2)),VALUE(LEFT(H601,2)))</f>
        <v>45544</v>
      </c>
      <c r="J601" s="9"/>
      <c r="K601" s="10" t="n">
        <v>1662000</v>
      </c>
      <c r="L601" s="10" t="n">
        <v>0</v>
      </c>
      <c r="M601" s="10" t="n">
        <v>1662000</v>
      </c>
      <c r="N601" s="10" t="n">
        <v>0</v>
      </c>
      <c r="O601" s="10" t="n">
        <v>0</v>
      </c>
      <c r="P601" s="10" t="n">
        <v>0</v>
      </c>
      <c r="Q601" s="10" t="n">
        <v>1662000</v>
      </c>
      <c r="R601" s="10" t="n">
        <v>0</v>
      </c>
      <c r="S601" s="10" t="n">
        <v>0</v>
      </c>
      <c r="T601" s="7"/>
      <c r="U601" s="7"/>
      <c r="V601" s="7"/>
      <c r="W601" s="7" t="s">
        <v>43</v>
      </c>
      <c r="X601" s="7"/>
      <c r="Y601" s="7" t="s">
        <v>37</v>
      </c>
      <c r="Z601" s="7" t="s">
        <v>2172</v>
      </c>
      <c r="AA601" s="7"/>
      <c r="AB601" s="10" t="n">
        <v>554000</v>
      </c>
      <c r="AC601" s="10" t="n">
        <v>3</v>
      </c>
    </row>
    <row r="602" customFormat="false" ht="15.75" hidden="true" customHeight="true" outlineLevel="0" collapsed="false">
      <c r="A602" s="6"/>
      <c r="B602" s="7" t="s">
        <v>1760</v>
      </c>
      <c r="C602" s="7" t="s">
        <v>65</v>
      </c>
      <c r="D602" s="7" t="s">
        <v>66</v>
      </c>
      <c r="E602" s="7" t="s">
        <v>97</v>
      </c>
      <c r="F602" s="8" t="s">
        <v>2173</v>
      </c>
      <c r="G602" s="9" t="n">
        <f aca="false">DATE(2000+VALUE(MID(F602,7,2)),VALUE(MID(F602,4,2)),VALUE(LEFT(F602,2)))</f>
        <v>45542</v>
      </c>
      <c r="H602" s="8" t="s">
        <v>2168</v>
      </c>
      <c r="I602" s="9" t="n">
        <f aca="false">DATE(2000+VALUE(MID(H602,7,2)),VALUE(MID(H602,4,2)),VALUE(LEFT(H602,2)))</f>
        <v>45544</v>
      </c>
      <c r="J602" s="9"/>
      <c r="K602" s="10" t="n">
        <v>1078000</v>
      </c>
      <c r="L602" s="10" t="n">
        <v>0</v>
      </c>
      <c r="M602" s="10" t="n">
        <v>1078000</v>
      </c>
      <c r="N602" s="10" t="n">
        <v>0</v>
      </c>
      <c r="O602" s="10" t="n">
        <v>0</v>
      </c>
      <c r="P602" s="10" t="n">
        <v>0</v>
      </c>
      <c r="Q602" s="10" t="n">
        <v>1078000</v>
      </c>
      <c r="R602" s="10" t="n">
        <v>0</v>
      </c>
      <c r="S602" s="10" t="n">
        <v>0</v>
      </c>
      <c r="T602" s="7"/>
      <c r="U602" s="7"/>
      <c r="V602" s="7"/>
      <c r="W602" s="7" t="s">
        <v>43</v>
      </c>
      <c r="X602" s="7"/>
      <c r="Y602" s="7" t="s">
        <v>37</v>
      </c>
      <c r="Z602" s="7" t="s">
        <v>2174</v>
      </c>
      <c r="AA602" s="7"/>
      <c r="AB602" s="10" t="n">
        <v>539000</v>
      </c>
      <c r="AC602" s="10" t="n">
        <v>2</v>
      </c>
    </row>
    <row r="603" customFormat="false" ht="15.75" hidden="true" customHeight="true" outlineLevel="0" collapsed="false">
      <c r="A603" s="6"/>
      <c r="B603" s="7" t="s">
        <v>1831</v>
      </c>
      <c r="C603" s="7" t="s">
        <v>65</v>
      </c>
      <c r="D603" s="7" t="s">
        <v>96</v>
      </c>
      <c r="E603" s="7" t="s">
        <v>2175</v>
      </c>
      <c r="F603" s="8" t="s">
        <v>2176</v>
      </c>
      <c r="G603" s="9" t="n">
        <f aca="false">DATE(2000+VALUE(MID(F603,7,2)),VALUE(MID(F603,4,2)),VALUE(LEFT(F603,2)))</f>
        <v>45543</v>
      </c>
      <c r="H603" s="8" t="s">
        <v>2168</v>
      </c>
      <c r="I603" s="9" t="n">
        <f aca="false">DATE(2000+VALUE(MID(H603,7,2)),VALUE(MID(H603,4,2)),VALUE(LEFT(H603,2)))</f>
        <v>45544</v>
      </c>
      <c r="J603" s="9"/>
      <c r="K603" s="10" t="n">
        <v>449650</v>
      </c>
      <c r="L603" s="10" t="n">
        <v>0</v>
      </c>
      <c r="M603" s="10" t="n">
        <v>449650</v>
      </c>
      <c r="N603" s="10" t="n">
        <v>0</v>
      </c>
      <c r="O603" s="10" t="n">
        <v>0</v>
      </c>
      <c r="P603" s="10" t="n">
        <v>0</v>
      </c>
      <c r="Q603" s="10" t="n">
        <v>0</v>
      </c>
      <c r="R603" s="10" t="n">
        <v>449650</v>
      </c>
      <c r="S603" s="10" t="n">
        <v>0</v>
      </c>
      <c r="T603" s="7"/>
      <c r="U603" s="7"/>
      <c r="V603" s="7"/>
      <c r="W603" s="7" t="s">
        <v>222</v>
      </c>
      <c r="X603" s="7"/>
      <c r="Y603" s="7" t="s">
        <v>37</v>
      </c>
      <c r="Z603" s="7" t="s">
        <v>2177</v>
      </c>
      <c r="AA603" s="7"/>
      <c r="AB603" s="10" t="n">
        <v>449650</v>
      </c>
      <c r="AC603" s="10" t="n">
        <v>1</v>
      </c>
    </row>
    <row r="604" customFormat="false" ht="15.75" hidden="true" customHeight="true" outlineLevel="0" collapsed="false">
      <c r="A604" s="6"/>
      <c r="B604" s="7" t="s">
        <v>2178</v>
      </c>
      <c r="C604" s="7" t="s">
        <v>71</v>
      </c>
      <c r="D604" s="7" t="s">
        <v>92</v>
      </c>
      <c r="E604" s="7" t="s">
        <v>2179</v>
      </c>
      <c r="F604" s="8" t="s">
        <v>2180</v>
      </c>
      <c r="G604" s="9" t="n">
        <f aca="false">DATE(2000+VALUE(MID(F604,7,2)),VALUE(MID(F604,4,2)),VALUE(LEFT(F604,2)))</f>
        <v>45543</v>
      </c>
      <c r="H604" s="8" t="s">
        <v>2181</v>
      </c>
      <c r="I604" s="9" t="n">
        <f aca="false">DATE(2000+VALUE(MID(H604,7,2)),VALUE(MID(H604,4,2)),VALUE(LEFT(H604,2)))</f>
        <v>45545</v>
      </c>
      <c r="J604" s="9"/>
      <c r="K604" s="10" t="n">
        <v>1258000</v>
      </c>
      <c r="L604" s="10" t="n">
        <v>0</v>
      </c>
      <c r="M604" s="10" t="n">
        <v>1258000</v>
      </c>
      <c r="N604" s="10" t="n">
        <v>0</v>
      </c>
      <c r="O604" s="10" t="n">
        <v>0</v>
      </c>
      <c r="P604" s="10" t="n">
        <v>0</v>
      </c>
      <c r="Q604" s="10" t="n">
        <v>1258000</v>
      </c>
      <c r="R604" s="10" t="n">
        <v>0</v>
      </c>
      <c r="S604" s="10" t="n">
        <v>0</v>
      </c>
      <c r="T604" s="7"/>
      <c r="U604" s="7"/>
      <c r="V604" s="7"/>
      <c r="W604" s="7" t="s">
        <v>43</v>
      </c>
      <c r="X604" s="7"/>
      <c r="Y604" s="7" t="s">
        <v>37</v>
      </c>
      <c r="Z604" s="7" t="s">
        <v>2182</v>
      </c>
      <c r="AA604" s="7"/>
      <c r="AB604" s="10" t="n">
        <v>629000</v>
      </c>
      <c r="AC604" s="10" t="n">
        <v>2</v>
      </c>
    </row>
    <row r="605" customFormat="false" ht="15.75" hidden="true" customHeight="true" outlineLevel="0" collapsed="false">
      <c r="A605" s="6"/>
      <c r="B605" s="7" t="s">
        <v>1948</v>
      </c>
      <c r="C605" s="7" t="s">
        <v>31</v>
      </c>
      <c r="D605" s="7" t="s">
        <v>105</v>
      </c>
      <c r="E605" s="7" t="s">
        <v>2183</v>
      </c>
      <c r="F605" s="8" t="s">
        <v>2184</v>
      </c>
      <c r="G605" s="9" t="n">
        <f aca="false">DATE(2000+VALUE(MID(F605,7,2)),VALUE(MID(F605,4,2)),VALUE(LEFT(F605,2)))</f>
        <v>45541</v>
      </c>
      <c r="H605" s="8" t="s">
        <v>2185</v>
      </c>
      <c r="I605" s="9" t="n">
        <f aca="false">DATE(2000+VALUE(MID(H605,7,2)),VALUE(MID(H605,4,2)),VALUE(LEFT(H605,2)))</f>
        <v>45545</v>
      </c>
      <c r="J605" s="9"/>
      <c r="K605" s="10" t="n">
        <v>2880000</v>
      </c>
      <c r="L605" s="10" t="n">
        <v>0</v>
      </c>
      <c r="M605" s="10" t="n">
        <v>2880000</v>
      </c>
      <c r="N605" s="10" t="n">
        <v>0</v>
      </c>
      <c r="O605" s="10" t="n">
        <v>0</v>
      </c>
      <c r="P605" s="10" t="n">
        <v>0</v>
      </c>
      <c r="Q605" s="10" t="n">
        <v>0</v>
      </c>
      <c r="R605" s="10" t="n">
        <v>2880000</v>
      </c>
      <c r="S605" s="10" t="n">
        <v>0</v>
      </c>
      <c r="T605" s="7"/>
      <c r="U605" s="7"/>
      <c r="V605" s="7"/>
      <c r="W605" s="7" t="s">
        <v>43</v>
      </c>
      <c r="X605" s="7"/>
      <c r="Y605" s="7" t="s">
        <v>37</v>
      </c>
      <c r="Z605" s="7" t="s">
        <v>2186</v>
      </c>
      <c r="AA605" s="7"/>
      <c r="AB605" s="10" t="n">
        <v>720000</v>
      </c>
      <c r="AC605" s="10" t="n">
        <v>4</v>
      </c>
    </row>
    <row r="606" customFormat="false" ht="15.75" hidden="true" customHeight="true" outlineLevel="0" collapsed="false">
      <c r="A606" s="6"/>
      <c r="B606" s="7" t="s">
        <v>1869</v>
      </c>
      <c r="C606" s="7" t="s">
        <v>65</v>
      </c>
      <c r="D606" s="7" t="s">
        <v>96</v>
      </c>
      <c r="E606" s="7" t="s">
        <v>2187</v>
      </c>
      <c r="F606" s="8" t="s">
        <v>2188</v>
      </c>
      <c r="G606" s="9" t="n">
        <f aca="false">DATE(2000+VALUE(MID(F606,7,2)),VALUE(MID(F606,4,2)),VALUE(LEFT(F606,2)))</f>
        <v>45544</v>
      </c>
      <c r="H606" s="8" t="s">
        <v>2189</v>
      </c>
      <c r="I606" s="9" t="n">
        <f aca="false">DATE(2000+VALUE(MID(H606,7,2)),VALUE(MID(H606,4,2)),VALUE(LEFT(H606,2)))</f>
        <v>45545</v>
      </c>
      <c r="J606" s="9"/>
      <c r="K606" s="10" t="n">
        <v>250000</v>
      </c>
      <c r="L606" s="10" t="n">
        <v>0</v>
      </c>
      <c r="M606" s="10" t="n">
        <v>250000</v>
      </c>
      <c r="N606" s="10" t="n">
        <v>0</v>
      </c>
      <c r="O606" s="10" t="n">
        <v>250000</v>
      </c>
      <c r="P606" s="10" t="n">
        <v>0</v>
      </c>
      <c r="Q606" s="10" t="n">
        <v>0</v>
      </c>
      <c r="R606" s="10" t="n">
        <v>0</v>
      </c>
      <c r="S606" s="10" t="n">
        <v>0</v>
      </c>
      <c r="T606" s="7"/>
      <c r="U606" s="7"/>
      <c r="V606" s="7"/>
      <c r="W606" s="7" t="s">
        <v>43</v>
      </c>
      <c r="X606" s="7"/>
      <c r="Y606" s="7" t="s">
        <v>37</v>
      </c>
      <c r="Z606" s="7" t="s">
        <v>2190</v>
      </c>
      <c r="AA606" s="7"/>
      <c r="AB606" s="10" t="n">
        <v>250000</v>
      </c>
      <c r="AC606" s="10" t="n">
        <v>1</v>
      </c>
    </row>
    <row r="607" customFormat="false" ht="15.75" hidden="true" customHeight="true" outlineLevel="0" collapsed="false">
      <c r="A607" s="6"/>
      <c r="B607" s="7" t="s">
        <v>1821</v>
      </c>
      <c r="C607" s="7" t="s">
        <v>60</v>
      </c>
      <c r="D607" s="7" t="s">
        <v>164</v>
      </c>
      <c r="E607" s="7" t="s">
        <v>2191</v>
      </c>
      <c r="F607" s="8" t="s">
        <v>2192</v>
      </c>
      <c r="G607" s="9" t="n">
        <f aca="false">DATE(2000+VALUE(MID(F607,7,2)),VALUE(MID(F607,4,2)),VALUE(LEFT(F607,2)))</f>
        <v>45544</v>
      </c>
      <c r="H607" s="8" t="s">
        <v>2193</v>
      </c>
      <c r="I607" s="9" t="n">
        <f aca="false">DATE(2000+VALUE(MID(H607,7,2)),VALUE(MID(H607,4,2)),VALUE(LEFT(H607,2)))</f>
        <v>45545</v>
      </c>
      <c r="J607" s="9"/>
      <c r="K607" s="10" t="n">
        <v>644000</v>
      </c>
      <c r="L607" s="10" t="n">
        <v>0</v>
      </c>
      <c r="M607" s="10" t="n">
        <v>644000</v>
      </c>
      <c r="N607" s="10" t="n">
        <v>0</v>
      </c>
      <c r="O607" s="10" t="n">
        <v>644000</v>
      </c>
      <c r="P607" s="10" t="n">
        <v>0</v>
      </c>
      <c r="Q607" s="10" t="n">
        <v>0</v>
      </c>
      <c r="R607" s="10" t="n">
        <v>0</v>
      </c>
      <c r="S607" s="10" t="n">
        <v>0</v>
      </c>
      <c r="T607" s="7"/>
      <c r="U607" s="7"/>
      <c r="V607" s="7"/>
      <c r="W607" s="7" t="s">
        <v>43</v>
      </c>
      <c r="X607" s="7"/>
      <c r="Y607" s="7" t="s">
        <v>37</v>
      </c>
      <c r="Z607" s="7" t="s">
        <v>2194</v>
      </c>
      <c r="AA607" s="7"/>
      <c r="AB607" s="10" t="n">
        <v>644000</v>
      </c>
      <c r="AC607" s="10" t="n">
        <v>1</v>
      </c>
    </row>
    <row r="608" customFormat="false" ht="15.75" hidden="true" customHeight="true" outlineLevel="0" collapsed="false">
      <c r="A608" s="6"/>
      <c r="B608" s="7" t="s">
        <v>1865</v>
      </c>
      <c r="C608" s="7" t="s">
        <v>65</v>
      </c>
      <c r="D608" s="7" t="s">
        <v>156</v>
      </c>
      <c r="E608" s="7" t="s">
        <v>2195</v>
      </c>
      <c r="F608" s="8" t="s">
        <v>2196</v>
      </c>
      <c r="G608" s="9" t="n">
        <f aca="false">DATE(2000+VALUE(MID(F608,7,2)),VALUE(MID(F608,4,2)),VALUE(LEFT(F608,2)))</f>
        <v>45546</v>
      </c>
      <c r="H608" s="8" t="s">
        <v>2197</v>
      </c>
      <c r="I608" s="9" t="n">
        <f aca="false">DATE(2000+VALUE(MID(H608,7,2)),VALUE(MID(H608,4,2)),VALUE(LEFT(H608,2)))</f>
        <v>45546</v>
      </c>
      <c r="J608" s="9"/>
      <c r="K608" s="10" t="n">
        <v>350000</v>
      </c>
      <c r="L608" s="10" t="n">
        <v>0</v>
      </c>
      <c r="M608" s="10" t="n">
        <v>350000</v>
      </c>
      <c r="N608" s="10" t="n">
        <v>0</v>
      </c>
      <c r="O608" s="10" t="n">
        <v>350000</v>
      </c>
      <c r="P608" s="10" t="n">
        <v>0</v>
      </c>
      <c r="Q608" s="10" t="n">
        <v>0</v>
      </c>
      <c r="R608" s="10" t="n">
        <v>0</v>
      </c>
      <c r="S608" s="10" t="n">
        <v>0</v>
      </c>
      <c r="T608" s="7"/>
      <c r="U608" s="7"/>
      <c r="V608" s="7"/>
      <c r="W608" s="7" t="s">
        <v>43</v>
      </c>
      <c r="X608" s="7"/>
      <c r="Y608" s="7" t="s">
        <v>37</v>
      </c>
      <c r="Z608" s="7" t="s">
        <v>440</v>
      </c>
      <c r="AA608" s="7"/>
      <c r="AB608" s="10" t="n">
        <v>350000</v>
      </c>
      <c r="AC608" s="10" t="n">
        <v>1</v>
      </c>
    </row>
    <row r="609" customFormat="false" ht="15.75" hidden="true" customHeight="true" outlineLevel="0" collapsed="false">
      <c r="A609" s="6"/>
      <c r="B609" s="7" t="s">
        <v>1817</v>
      </c>
      <c r="C609" s="7" t="s">
        <v>60</v>
      </c>
      <c r="D609" s="7" t="s">
        <v>116</v>
      </c>
      <c r="E609" s="7" t="s">
        <v>202</v>
      </c>
      <c r="F609" s="8" t="s">
        <v>2198</v>
      </c>
      <c r="G609" s="9" t="n">
        <f aca="false">DATE(2000+VALUE(MID(F609,7,2)),VALUE(MID(F609,4,2)),VALUE(LEFT(F609,2)))</f>
        <v>45543</v>
      </c>
      <c r="H609" s="8" t="s">
        <v>2199</v>
      </c>
      <c r="I609" s="9" t="n">
        <f aca="false">DATE(2000+VALUE(MID(H609,7,2)),VALUE(MID(H609,4,2)),VALUE(LEFT(H609,2)))</f>
        <v>45546</v>
      </c>
      <c r="J609" s="9"/>
      <c r="K609" s="10" t="n">
        <v>2200000</v>
      </c>
      <c r="L609" s="10" t="n">
        <v>350000</v>
      </c>
      <c r="M609" s="10" t="n">
        <v>2550000</v>
      </c>
      <c r="N609" s="10" t="n">
        <v>0</v>
      </c>
      <c r="O609" s="10" t="n">
        <v>100000</v>
      </c>
      <c r="P609" s="10" t="n">
        <v>0</v>
      </c>
      <c r="Q609" s="10" t="n">
        <v>2450000</v>
      </c>
      <c r="R609" s="10" t="n">
        <v>0</v>
      </c>
      <c r="S609" s="10" t="n">
        <v>0</v>
      </c>
      <c r="T609" s="7"/>
      <c r="U609" s="7"/>
      <c r="V609" s="7"/>
      <c r="W609" s="7" t="s">
        <v>43</v>
      </c>
      <c r="X609" s="7"/>
      <c r="Y609" s="7" t="s">
        <v>37</v>
      </c>
      <c r="Z609" s="7" t="s">
        <v>2200</v>
      </c>
      <c r="AA609" s="7"/>
      <c r="AB609" s="10" t="n">
        <v>733333.3333</v>
      </c>
      <c r="AC609" s="10" t="n">
        <v>3</v>
      </c>
    </row>
    <row r="610" customFormat="false" ht="15.75" hidden="true" customHeight="true" outlineLevel="0" collapsed="false">
      <c r="A610" s="6"/>
      <c r="B610" s="7" t="s">
        <v>1843</v>
      </c>
      <c r="C610" s="7" t="s">
        <v>65</v>
      </c>
      <c r="D610" s="7" t="s">
        <v>82</v>
      </c>
      <c r="E610" s="7" t="s">
        <v>2149</v>
      </c>
      <c r="F610" s="8" t="s">
        <v>2201</v>
      </c>
      <c r="G610" s="9" t="n">
        <f aca="false">DATE(2000+VALUE(MID(F610,7,2)),VALUE(MID(F610,4,2)),VALUE(LEFT(F610,2)))</f>
        <v>45544</v>
      </c>
      <c r="H610" s="8" t="s">
        <v>2199</v>
      </c>
      <c r="I610" s="9" t="n">
        <f aca="false">DATE(2000+VALUE(MID(H610,7,2)),VALUE(MID(H610,4,2)),VALUE(LEFT(H610,2)))</f>
        <v>45546</v>
      </c>
      <c r="J610" s="9"/>
      <c r="K610" s="10" t="n">
        <v>1498000</v>
      </c>
      <c r="L610" s="10" t="n">
        <v>0</v>
      </c>
      <c r="M610" s="10" t="n">
        <v>1498000</v>
      </c>
      <c r="N610" s="10" t="n">
        <v>0</v>
      </c>
      <c r="O610" s="10" t="n">
        <v>0</v>
      </c>
      <c r="P610" s="10" t="n">
        <v>0</v>
      </c>
      <c r="Q610" s="10" t="n">
        <v>1498000</v>
      </c>
      <c r="R610" s="10" t="n">
        <v>0</v>
      </c>
      <c r="S610" s="10" t="n">
        <v>0</v>
      </c>
      <c r="T610" s="7"/>
      <c r="U610" s="7"/>
      <c r="V610" s="7"/>
      <c r="W610" s="7" t="s">
        <v>43</v>
      </c>
      <c r="X610" s="7"/>
      <c r="Y610" s="7" t="s">
        <v>37</v>
      </c>
      <c r="Z610" s="7" t="s">
        <v>2202</v>
      </c>
      <c r="AA610" s="7"/>
      <c r="AB610" s="10" t="n">
        <v>749000</v>
      </c>
      <c r="AC610" s="10" t="n">
        <v>2</v>
      </c>
    </row>
    <row r="611" customFormat="false" ht="15.75" hidden="true" customHeight="true" outlineLevel="0" collapsed="false">
      <c r="A611" s="6"/>
      <c r="B611" s="7" t="s">
        <v>2203</v>
      </c>
      <c r="C611" s="7" t="s">
        <v>65</v>
      </c>
      <c r="D611" s="7" t="s">
        <v>76</v>
      </c>
      <c r="E611" s="7" t="s">
        <v>2204</v>
      </c>
      <c r="F611" s="8" t="s">
        <v>2205</v>
      </c>
      <c r="G611" s="9" t="n">
        <f aca="false">DATE(2000+VALUE(MID(F611,7,2)),VALUE(MID(F611,4,2)),VALUE(LEFT(F611,2)))</f>
        <v>45546</v>
      </c>
      <c r="H611" s="8" t="s">
        <v>2206</v>
      </c>
      <c r="I611" s="9" t="n">
        <f aca="false">DATE(2000+VALUE(MID(H611,7,2)),VALUE(MID(H611,4,2)),VALUE(LEFT(H611,2)))</f>
        <v>45547</v>
      </c>
      <c r="J611" s="9"/>
      <c r="K611" s="10" t="n">
        <v>549000</v>
      </c>
      <c r="L611" s="10" t="n">
        <v>0</v>
      </c>
      <c r="M611" s="10" t="n">
        <v>549000</v>
      </c>
      <c r="N611" s="10" t="n">
        <v>0</v>
      </c>
      <c r="O611" s="10" t="n">
        <v>549000</v>
      </c>
      <c r="P611" s="10" t="n">
        <v>0</v>
      </c>
      <c r="Q611" s="10" t="n">
        <v>0</v>
      </c>
      <c r="R611" s="10" t="n">
        <v>0</v>
      </c>
      <c r="S611" s="10" t="n">
        <v>0</v>
      </c>
      <c r="T611" s="7"/>
      <c r="U611" s="7"/>
      <c r="V611" s="7"/>
      <c r="W611" s="7" t="s">
        <v>43</v>
      </c>
      <c r="X611" s="7"/>
      <c r="Y611" s="7" t="s">
        <v>37</v>
      </c>
      <c r="Z611" s="7" t="s">
        <v>2207</v>
      </c>
      <c r="AA611" s="7"/>
      <c r="AB611" s="10" t="n">
        <v>549000</v>
      </c>
      <c r="AC611" s="10" t="n">
        <v>1</v>
      </c>
    </row>
    <row r="612" customFormat="false" ht="15.75" hidden="true" customHeight="true" outlineLevel="0" collapsed="false">
      <c r="A612" s="6"/>
      <c r="B612" s="7" t="s">
        <v>1837</v>
      </c>
      <c r="C612" s="7" t="s">
        <v>31</v>
      </c>
      <c r="D612" s="7" t="s">
        <v>45</v>
      </c>
      <c r="E612" s="7" t="s">
        <v>2208</v>
      </c>
      <c r="F612" s="8" t="s">
        <v>2192</v>
      </c>
      <c r="G612" s="9" t="n">
        <f aca="false">DATE(2000+VALUE(MID(F612,7,2)),VALUE(MID(F612,4,2)),VALUE(LEFT(F612,2)))</f>
        <v>45544</v>
      </c>
      <c r="H612" s="8" t="s">
        <v>2209</v>
      </c>
      <c r="I612" s="9" t="n">
        <f aca="false">DATE(2000+VALUE(MID(H612,7,2)),VALUE(MID(H612,4,2)),VALUE(LEFT(H612,2)))</f>
        <v>45547</v>
      </c>
      <c r="J612" s="9"/>
      <c r="K612" s="10" t="n">
        <v>2160000</v>
      </c>
      <c r="L612" s="10" t="n">
        <v>175000</v>
      </c>
      <c r="M612" s="10" t="n">
        <v>2335000</v>
      </c>
      <c r="N612" s="10" t="n">
        <v>0</v>
      </c>
      <c r="O612" s="10" t="n">
        <v>0</v>
      </c>
      <c r="P612" s="10" t="n">
        <v>0</v>
      </c>
      <c r="Q612" s="10" t="n">
        <v>2335000</v>
      </c>
      <c r="R612" s="10" t="n">
        <v>0</v>
      </c>
      <c r="S612" s="10" t="n">
        <v>0</v>
      </c>
      <c r="T612" s="7"/>
      <c r="U612" s="7"/>
      <c r="V612" s="7"/>
      <c r="W612" s="7" t="s">
        <v>43</v>
      </c>
      <c r="X612" s="7"/>
      <c r="Y612" s="7" t="s">
        <v>37</v>
      </c>
      <c r="Z612" s="7" t="s">
        <v>2210</v>
      </c>
      <c r="AA612" s="7"/>
      <c r="AB612" s="10" t="n">
        <v>720000</v>
      </c>
      <c r="AC612" s="10" t="n">
        <v>3</v>
      </c>
    </row>
    <row r="613" customFormat="false" ht="15.75" hidden="true" customHeight="true" outlineLevel="0" collapsed="false">
      <c r="A613" s="6"/>
      <c r="B613" s="7" t="s">
        <v>1545</v>
      </c>
      <c r="C613" s="7" t="s">
        <v>65</v>
      </c>
      <c r="D613" s="7" t="s">
        <v>66</v>
      </c>
      <c r="E613" s="7" t="s">
        <v>2211</v>
      </c>
      <c r="F613" s="8" t="s">
        <v>2212</v>
      </c>
      <c r="G613" s="9" t="n">
        <f aca="false">DATE(2000+VALUE(MID(F613,7,2)),VALUE(MID(F613,4,2)),VALUE(LEFT(F613,2)))</f>
        <v>45545</v>
      </c>
      <c r="H613" s="8" t="s">
        <v>2213</v>
      </c>
      <c r="I613" s="9" t="n">
        <f aca="false">DATE(2000+VALUE(MID(H613,7,2)),VALUE(MID(H613,4,2)),VALUE(LEFT(H613,2)))</f>
        <v>45547</v>
      </c>
      <c r="J613" s="9"/>
      <c r="K613" s="10" t="n">
        <v>1448640</v>
      </c>
      <c r="L613" s="10" t="n">
        <v>0</v>
      </c>
      <c r="M613" s="10" t="n">
        <v>1448640</v>
      </c>
      <c r="N613" s="10" t="n">
        <v>0</v>
      </c>
      <c r="O613" s="10" t="n">
        <v>0</v>
      </c>
      <c r="P613" s="10" t="n">
        <v>0</v>
      </c>
      <c r="Q613" s="10" t="n">
        <v>0</v>
      </c>
      <c r="R613" s="10" t="n">
        <v>2897280</v>
      </c>
      <c r="S613" s="10" t="n">
        <v>-1448640</v>
      </c>
      <c r="T613" s="7"/>
      <c r="U613" s="7"/>
      <c r="V613" s="7"/>
      <c r="W613" s="7" t="s">
        <v>49</v>
      </c>
      <c r="X613" s="7"/>
      <c r="Y613" s="7" t="s">
        <v>37</v>
      </c>
      <c r="Z613" s="7" t="s">
        <v>2214</v>
      </c>
      <c r="AA613" s="7" t="s">
        <v>2215</v>
      </c>
      <c r="AB613" s="10" t="n">
        <v>724320</v>
      </c>
      <c r="AC613" s="10" t="n">
        <v>2</v>
      </c>
    </row>
    <row r="614" customFormat="false" ht="15.75" hidden="true" customHeight="true" outlineLevel="0" collapsed="false">
      <c r="A614" s="6"/>
      <c r="B614" s="7" t="s">
        <v>1545</v>
      </c>
      <c r="C614" s="7" t="s">
        <v>65</v>
      </c>
      <c r="D614" s="7" t="s">
        <v>87</v>
      </c>
      <c r="E614" s="7" t="s">
        <v>2216</v>
      </c>
      <c r="F614" s="8" t="s">
        <v>2212</v>
      </c>
      <c r="G614" s="9" t="n">
        <f aca="false">DATE(2000+VALUE(MID(F614,7,2)),VALUE(MID(F614,4,2)),VALUE(LEFT(F614,2)))</f>
        <v>45545</v>
      </c>
      <c r="H614" s="8" t="s">
        <v>2213</v>
      </c>
      <c r="I614" s="9" t="n">
        <f aca="false">DATE(2000+VALUE(MID(H614,7,2)),VALUE(MID(H614,4,2)),VALUE(LEFT(H614,2)))</f>
        <v>45547</v>
      </c>
      <c r="J614" s="9"/>
      <c r="K614" s="10" t="n">
        <v>1448640</v>
      </c>
      <c r="L614" s="10" t="n">
        <v>0</v>
      </c>
      <c r="M614" s="10" t="n">
        <v>1448640</v>
      </c>
      <c r="N614" s="10" t="n">
        <v>0</v>
      </c>
      <c r="O614" s="10" t="n">
        <v>0</v>
      </c>
      <c r="P614" s="10" t="n">
        <v>0</v>
      </c>
      <c r="Q614" s="10" t="n">
        <v>0</v>
      </c>
      <c r="R614" s="10" t="n">
        <v>0</v>
      </c>
      <c r="S614" s="10" t="n">
        <v>1448640</v>
      </c>
      <c r="T614" s="7"/>
      <c r="U614" s="7"/>
      <c r="V614" s="7"/>
      <c r="W614" s="7" t="s">
        <v>49</v>
      </c>
      <c r="X614" s="7"/>
      <c r="Y614" s="7" t="s">
        <v>37</v>
      </c>
      <c r="Z614" s="7" t="s">
        <v>2217</v>
      </c>
      <c r="AA614" s="7" t="s">
        <v>2215</v>
      </c>
      <c r="AB614" s="10" t="n">
        <v>724320</v>
      </c>
      <c r="AC614" s="10" t="n">
        <v>2</v>
      </c>
    </row>
    <row r="615" customFormat="false" ht="15.75" hidden="true" customHeight="true" outlineLevel="0" collapsed="false">
      <c r="A615" s="6"/>
      <c r="B615" s="7" t="s">
        <v>1884</v>
      </c>
      <c r="C615" s="7" t="s">
        <v>60</v>
      </c>
      <c r="D615" s="7" t="s">
        <v>173</v>
      </c>
      <c r="E615" s="7" t="s">
        <v>2218</v>
      </c>
      <c r="F615" s="8" t="s">
        <v>2219</v>
      </c>
      <c r="G615" s="9" t="n">
        <f aca="false">DATE(2000+VALUE(MID(F615,7,2)),VALUE(MID(F615,4,2)),VALUE(LEFT(F615,2)))</f>
        <v>45547</v>
      </c>
      <c r="H615" s="8" t="s">
        <v>2220</v>
      </c>
      <c r="I615" s="9" t="n">
        <f aca="false">DATE(2000+VALUE(MID(H615,7,2)),VALUE(MID(H615,4,2)),VALUE(LEFT(H615,2)))</f>
        <v>45548</v>
      </c>
      <c r="J615" s="9"/>
      <c r="K615" s="10" t="n">
        <v>482112</v>
      </c>
      <c r="L615" s="10" t="n">
        <v>60000</v>
      </c>
      <c r="M615" s="10" t="n">
        <v>542112</v>
      </c>
      <c r="N615" s="10" t="n">
        <v>0</v>
      </c>
      <c r="O615" s="10" t="n">
        <v>60000</v>
      </c>
      <c r="P615" s="10" t="n">
        <v>0</v>
      </c>
      <c r="Q615" s="10" t="n">
        <v>0</v>
      </c>
      <c r="R615" s="10" t="n">
        <v>482112</v>
      </c>
      <c r="S615" s="10" t="n">
        <v>0</v>
      </c>
      <c r="T615" s="7"/>
      <c r="U615" s="7"/>
      <c r="V615" s="7"/>
      <c r="W615" s="7" t="s">
        <v>49</v>
      </c>
      <c r="X615" s="7"/>
      <c r="Y615" s="7" t="s">
        <v>37</v>
      </c>
      <c r="Z615" s="7" t="s">
        <v>914</v>
      </c>
      <c r="AA615" s="7" t="s">
        <v>2221</v>
      </c>
      <c r="AB615" s="10" t="n">
        <v>482112</v>
      </c>
      <c r="AC615" s="10" t="n">
        <v>1</v>
      </c>
    </row>
    <row r="616" customFormat="false" ht="15.75" hidden="true" customHeight="true" outlineLevel="0" collapsed="false">
      <c r="A616" s="6"/>
      <c r="B616" s="7" t="s">
        <v>1909</v>
      </c>
      <c r="C616" s="7" t="s">
        <v>65</v>
      </c>
      <c r="D616" s="7" t="s">
        <v>96</v>
      </c>
      <c r="E616" s="7" t="s">
        <v>2222</v>
      </c>
      <c r="F616" s="8" t="s">
        <v>2223</v>
      </c>
      <c r="G616" s="9" t="n">
        <f aca="false">DATE(2000+VALUE(MID(F616,7,2)),VALUE(MID(F616,4,2)),VALUE(LEFT(F616,2)))</f>
        <v>45548</v>
      </c>
      <c r="H616" s="8" t="s">
        <v>2224</v>
      </c>
      <c r="I616" s="9" t="n">
        <f aca="false">DATE(2000+VALUE(MID(H616,7,2)),VALUE(MID(H616,4,2)),VALUE(LEFT(H616,2)))</f>
        <v>45548</v>
      </c>
      <c r="J616" s="9"/>
      <c r="K616" s="10" t="n">
        <v>350000</v>
      </c>
      <c r="L616" s="10" t="n">
        <v>0</v>
      </c>
      <c r="M616" s="10" t="n">
        <v>350000</v>
      </c>
      <c r="N616" s="10" t="n">
        <v>0</v>
      </c>
      <c r="O616" s="10" t="n">
        <v>350000</v>
      </c>
      <c r="P616" s="10" t="n">
        <v>0</v>
      </c>
      <c r="Q616" s="10" t="n">
        <v>0</v>
      </c>
      <c r="R616" s="10" t="n">
        <v>0</v>
      </c>
      <c r="S616" s="10" t="n">
        <v>0</v>
      </c>
      <c r="T616" s="7"/>
      <c r="U616" s="7"/>
      <c r="V616" s="7"/>
      <c r="W616" s="7" t="s">
        <v>43</v>
      </c>
      <c r="X616" s="7"/>
      <c r="Y616" s="7" t="s">
        <v>37</v>
      </c>
      <c r="Z616" s="7" t="s">
        <v>2225</v>
      </c>
      <c r="AA616" s="7"/>
      <c r="AB616" s="10" t="n">
        <v>350000</v>
      </c>
      <c r="AC616" s="10" t="n">
        <v>1</v>
      </c>
    </row>
    <row r="617" customFormat="false" ht="15.75" hidden="true" customHeight="true" outlineLevel="0" collapsed="false">
      <c r="A617" s="6"/>
      <c r="B617" s="7" t="s">
        <v>92</v>
      </c>
      <c r="C617" s="7" t="s">
        <v>71</v>
      </c>
      <c r="D617" s="7" t="s">
        <v>914</v>
      </c>
      <c r="E617" s="7" t="s">
        <v>2226</v>
      </c>
      <c r="F617" s="8" t="s">
        <v>2227</v>
      </c>
      <c r="G617" s="9" t="n">
        <f aca="false">DATE(2000+VALUE(MID(F617,7,2)),VALUE(MID(F617,4,2)),VALUE(LEFT(F617,2)))</f>
        <v>45548</v>
      </c>
      <c r="H617" s="8" t="s">
        <v>2228</v>
      </c>
      <c r="I617" s="9" t="n">
        <f aca="false">DATE(2000+VALUE(MID(H617,7,2)),VALUE(MID(H617,4,2)),VALUE(LEFT(H617,2)))</f>
        <v>45548</v>
      </c>
      <c r="J617" s="9"/>
      <c r="K617" s="10" t="n">
        <v>0</v>
      </c>
      <c r="L617" s="10" t="n">
        <v>0</v>
      </c>
      <c r="M617" s="10" t="n">
        <v>0</v>
      </c>
      <c r="N617" s="10" t="n">
        <v>0</v>
      </c>
      <c r="O617" s="10" t="n">
        <v>0</v>
      </c>
      <c r="P617" s="10" t="n">
        <v>0</v>
      </c>
      <c r="Q617" s="10" t="n">
        <v>0</v>
      </c>
      <c r="R617" s="10" t="n">
        <v>0</v>
      </c>
      <c r="S617" s="10" t="n">
        <v>0</v>
      </c>
      <c r="T617" s="7"/>
      <c r="U617" s="7"/>
      <c r="V617" s="7"/>
      <c r="W617" s="7" t="s">
        <v>43</v>
      </c>
      <c r="X617" s="7"/>
      <c r="Y617" s="7" t="s">
        <v>37</v>
      </c>
      <c r="Z617" s="7" t="s">
        <v>2229</v>
      </c>
      <c r="AA617" s="7"/>
      <c r="AB617" s="10" t="n">
        <v>0</v>
      </c>
      <c r="AC617" s="10" t="n">
        <v>1</v>
      </c>
    </row>
    <row r="618" customFormat="false" ht="15.75" hidden="true" customHeight="true" outlineLevel="0" collapsed="false">
      <c r="A618" s="6"/>
      <c r="B618" s="7" t="s">
        <v>1847</v>
      </c>
      <c r="C618" s="7" t="s">
        <v>65</v>
      </c>
      <c r="D618" s="7" t="s">
        <v>76</v>
      </c>
      <c r="E618" s="7" t="s">
        <v>2230</v>
      </c>
      <c r="F618" s="8" t="s">
        <v>2231</v>
      </c>
      <c r="G618" s="9" t="n">
        <f aca="false">DATE(2000+VALUE(MID(F618,7,2)),VALUE(MID(F618,4,2)),VALUE(LEFT(F618,2)))</f>
        <v>45547</v>
      </c>
      <c r="H618" s="8" t="s">
        <v>2232</v>
      </c>
      <c r="I618" s="9" t="n">
        <f aca="false">DATE(2000+VALUE(MID(H618,7,2)),VALUE(MID(H618,4,2)),VALUE(LEFT(H618,2)))</f>
        <v>45549</v>
      </c>
      <c r="J618" s="9"/>
      <c r="K618" s="10" t="n">
        <v>1120000</v>
      </c>
      <c r="L618" s="10" t="n">
        <v>0</v>
      </c>
      <c r="M618" s="10" t="n">
        <v>1120000</v>
      </c>
      <c r="N618" s="10" t="n">
        <v>0</v>
      </c>
      <c r="O618" s="10" t="n">
        <v>0</v>
      </c>
      <c r="P618" s="10" t="n">
        <v>0</v>
      </c>
      <c r="Q618" s="10" t="n">
        <v>1120000</v>
      </c>
      <c r="R618" s="10" t="n">
        <v>0</v>
      </c>
      <c r="S618" s="10" t="n">
        <v>0</v>
      </c>
      <c r="T618" s="7"/>
      <c r="U618" s="7"/>
      <c r="V618" s="7"/>
      <c r="W618" s="7" t="s">
        <v>43</v>
      </c>
      <c r="X618" s="7"/>
      <c r="Y618" s="7" t="s">
        <v>37</v>
      </c>
      <c r="Z618" s="7" t="s">
        <v>2233</v>
      </c>
      <c r="AA618" s="7"/>
      <c r="AB618" s="10" t="n">
        <v>560000</v>
      </c>
      <c r="AC618" s="10" t="n">
        <v>2</v>
      </c>
    </row>
    <row r="619" customFormat="false" ht="15.75" hidden="true" customHeight="true" outlineLevel="0" collapsed="false">
      <c r="A619" s="6"/>
      <c r="B619" s="7" t="s">
        <v>87</v>
      </c>
      <c r="C619" s="7" t="s">
        <v>65</v>
      </c>
      <c r="D619" s="7" t="s">
        <v>66</v>
      </c>
      <c r="E619" s="7" t="s">
        <v>2234</v>
      </c>
      <c r="F619" s="8" t="s">
        <v>2235</v>
      </c>
      <c r="G619" s="9" t="n">
        <f aca="false">DATE(2000+VALUE(MID(F619,7,2)),VALUE(MID(F619,4,2)),VALUE(LEFT(F619,2)))</f>
        <v>45548</v>
      </c>
      <c r="H619" s="8" t="s">
        <v>2236</v>
      </c>
      <c r="I619" s="9" t="n">
        <f aca="false">DATE(2000+VALUE(MID(H619,7,2)),VALUE(MID(H619,4,2)),VALUE(LEFT(H619,2)))</f>
        <v>45549</v>
      </c>
      <c r="J619" s="9"/>
      <c r="K619" s="10" t="n">
        <v>460000</v>
      </c>
      <c r="L619" s="10" t="n">
        <v>0</v>
      </c>
      <c r="M619" s="10" t="n">
        <v>460000</v>
      </c>
      <c r="N619" s="10" t="n">
        <v>0</v>
      </c>
      <c r="O619" s="10" t="n">
        <v>0</v>
      </c>
      <c r="P619" s="10" t="n">
        <v>0</v>
      </c>
      <c r="Q619" s="10" t="n">
        <v>460000</v>
      </c>
      <c r="R619" s="10" t="n">
        <v>0</v>
      </c>
      <c r="S619" s="10" t="n">
        <v>0</v>
      </c>
      <c r="T619" s="7"/>
      <c r="U619" s="7"/>
      <c r="V619" s="7"/>
      <c r="W619" s="7" t="s">
        <v>43</v>
      </c>
      <c r="X619" s="7"/>
      <c r="Y619" s="7" t="s">
        <v>37</v>
      </c>
      <c r="Z619" s="7" t="s">
        <v>2237</v>
      </c>
      <c r="AA619" s="7"/>
      <c r="AB619" s="10" t="n">
        <v>460000</v>
      </c>
      <c r="AC619" s="10" t="n">
        <v>1</v>
      </c>
    </row>
    <row r="620" customFormat="false" ht="15.75" hidden="true" customHeight="true" outlineLevel="0" collapsed="false">
      <c r="A620" s="6"/>
      <c r="B620" s="7" t="s">
        <v>105</v>
      </c>
      <c r="C620" s="7" t="s">
        <v>71</v>
      </c>
      <c r="D620" s="7" t="s">
        <v>92</v>
      </c>
      <c r="E620" s="7" t="s">
        <v>2238</v>
      </c>
      <c r="F620" s="8" t="s">
        <v>2239</v>
      </c>
      <c r="G620" s="9" t="n">
        <f aca="false">DATE(2000+VALUE(MID(F620,7,2)),VALUE(MID(F620,4,2)),VALUE(LEFT(F620,2)))</f>
        <v>45549</v>
      </c>
      <c r="H620" s="8" t="s">
        <v>2240</v>
      </c>
      <c r="I620" s="9" t="n">
        <f aca="false">DATE(2000+VALUE(MID(H620,7,2)),VALUE(MID(H620,4,2)),VALUE(LEFT(H620,2)))</f>
        <v>45549</v>
      </c>
      <c r="J620" s="9"/>
      <c r="K620" s="10" t="n">
        <v>575424</v>
      </c>
      <c r="L620" s="10" t="n">
        <v>0</v>
      </c>
      <c r="M620" s="10" t="n">
        <v>575424</v>
      </c>
      <c r="N620" s="10" t="n">
        <v>0</v>
      </c>
      <c r="O620" s="10" t="n">
        <v>0</v>
      </c>
      <c r="P620" s="10" t="n">
        <v>0</v>
      </c>
      <c r="Q620" s="10" t="n">
        <v>0</v>
      </c>
      <c r="R620" s="10" t="n">
        <v>575424</v>
      </c>
      <c r="S620" s="10" t="n">
        <v>0</v>
      </c>
      <c r="T620" s="7"/>
      <c r="U620" s="7"/>
      <c r="V620" s="7"/>
      <c r="W620" s="7" t="s">
        <v>49</v>
      </c>
      <c r="X620" s="7"/>
      <c r="Y620" s="7" t="s">
        <v>37</v>
      </c>
      <c r="Z620" s="7" t="s">
        <v>2241</v>
      </c>
      <c r="AA620" s="7" t="s">
        <v>2242</v>
      </c>
      <c r="AB620" s="10" t="n">
        <v>575424</v>
      </c>
      <c r="AC620" s="10" t="n">
        <v>1</v>
      </c>
    </row>
    <row r="621" customFormat="false" ht="15.75" hidden="true" customHeight="true" outlineLevel="0" collapsed="false">
      <c r="A621" s="6"/>
      <c r="B621" s="7" t="s">
        <v>1902</v>
      </c>
      <c r="C621" s="7" t="s">
        <v>71</v>
      </c>
      <c r="D621" s="7" t="s">
        <v>914</v>
      </c>
      <c r="E621" s="7" t="s">
        <v>2243</v>
      </c>
      <c r="F621" s="8" t="s">
        <v>2244</v>
      </c>
      <c r="G621" s="9" t="n">
        <f aca="false">DATE(2000+VALUE(MID(F621,7,2)),VALUE(MID(F621,4,2)),VALUE(LEFT(F621,2)))</f>
        <v>45549</v>
      </c>
      <c r="H621" s="8" t="s">
        <v>2245</v>
      </c>
      <c r="I621" s="9" t="n">
        <f aca="false">DATE(2000+VALUE(MID(H621,7,2)),VALUE(MID(H621,4,2)),VALUE(LEFT(H621,2)))</f>
        <v>45550</v>
      </c>
      <c r="J621" s="9"/>
      <c r="K621" s="10" t="n">
        <v>701568</v>
      </c>
      <c r="L621" s="10" t="n">
        <v>0</v>
      </c>
      <c r="M621" s="10" t="n">
        <v>701568</v>
      </c>
      <c r="N621" s="10" t="n">
        <v>0</v>
      </c>
      <c r="O621" s="10" t="n">
        <v>0</v>
      </c>
      <c r="P621" s="10" t="n">
        <v>0</v>
      </c>
      <c r="Q621" s="10" t="n">
        <v>0</v>
      </c>
      <c r="R621" s="10" t="n">
        <v>701568</v>
      </c>
      <c r="S621" s="10" t="n">
        <v>0</v>
      </c>
      <c r="T621" s="7"/>
      <c r="U621" s="7"/>
      <c r="V621" s="7"/>
      <c r="W621" s="7" t="s">
        <v>49</v>
      </c>
      <c r="X621" s="7"/>
      <c r="Y621" s="7" t="s">
        <v>37</v>
      </c>
      <c r="Z621" s="7" t="s">
        <v>2246</v>
      </c>
      <c r="AA621" s="7" t="s">
        <v>2247</v>
      </c>
      <c r="AB621" s="10" t="n">
        <v>701568</v>
      </c>
      <c r="AC621" s="10" t="n">
        <v>1</v>
      </c>
    </row>
    <row r="622" customFormat="false" ht="15.75" hidden="true" customHeight="true" outlineLevel="0" collapsed="false">
      <c r="A622" s="6"/>
      <c r="B622" s="7" t="s">
        <v>2248</v>
      </c>
      <c r="C622" s="7" t="s">
        <v>60</v>
      </c>
      <c r="D622" s="7" t="s">
        <v>61</v>
      </c>
      <c r="E622" s="7" t="s">
        <v>2249</v>
      </c>
      <c r="F622" s="8" t="s">
        <v>2250</v>
      </c>
      <c r="G622" s="9" t="n">
        <f aca="false">DATE(2000+VALUE(MID(F622,7,2)),VALUE(MID(F622,4,2)),VALUE(LEFT(F622,2)))</f>
        <v>45549</v>
      </c>
      <c r="H622" s="8" t="s">
        <v>2251</v>
      </c>
      <c r="I622" s="9" t="n">
        <f aca="false">DATE(2000+VALUE(MID(H622,7,2)),VALUE(MID(H622,4,2)),VALUE(LEFT(H622,2)))</f>
        <v>45550</v>
      </c>
      <c r="J622" s="9"/>
      <c r="K622" s="10" t="n">
        <v>809000</v>
      </c>
      <c r="L622" s="10" t="n">
        <v>0</v>
      </c>
      <c r="M622" s="10" t="n">
        <v>776550</v>
      </c>
      <c r="N622" s="10" t="n">
        <v>0</v>
      </c>
      <c r="O622" s="10" t="n">
        <v>0</v>
      </c>
      <c r="P622" s="10" t="n">
        <v>0</v>
      </c>
      <c r="Q622" s="10" t="n">
        <v>776550</v>
      </c>
      <c r="R622" s="10" t="n">
        <v>0</v>
      </c>
      <c r="S622" s="10" t="n">
        <v>0</v>
      </c>
      <c r="T622" s="7"/>
      <c r="U622" s="7"/>
      <c r="V622" s="7"/>
      <c r="W622" s="7" t="s">
        <v>43</v>
      </c>
      <c r="X622" s="7"/>
      <c r="Y622" s="7" t="s">
        <v>37</v>
      </c>
      <c r="Z622" s="7" t="s">
        <v>2252</v>
      </c>
      <c r="AA622" s="7" t="s">
        <v>2253</v>
      </c>
      <c r="AB622" s="10" t="n">
        <v>809000</v>
      </c>
      <c r="AC622" s="10" t="n">
        <v>1</v>
      </c>
    </row>
    <row r="623" customFormat="false" ht="15.75" hidden="true" customHeight="true" outlineLevel="0" collapsed="false">
      <c r="A623" s="6"/>
      <c r="B623" s="7" t="s">
        <v>2254</v>
      </c>
      <c r="C623" s="7" t="s">
        <v>65</v>
      </c>
      <c r="D623" s="7" t="s">
        <v>96</v>
      </c>
      <c r="E623" s="7" t="s">
        <v>2255</v>
      </c>
      <c r="F623" s="8" t="s">
        <v>2256</v>
      </c>
      <c r="G623" s="9" t="n">
        <f aca="false">DATE(2000+VALUE(MID(F623,7,2)),VALUE(MID(F623,4,2)),VALUE(LEFT(F623,2)))</f>
        <v>45549</v>
      </c>
      <c r="H623" s="8" t="s">
        <v>2257</v>
      </c>
      <c r="I623" s="9" t="n">
        <f aca="false">DATE(2000+VALUE(MID(H623,7,2)),VALUE(MID(H623,4,2)),VALUE(LEFT(H623,2)))</f>
        <v>45550</v>
      </c>
      <c r="J623" s="9"/>
      <c r="K623" s="10" t="n">
        <v>632960</v>
      </c>
      <c r="L623" s="10" t="n">
        <v>0</v>
      </c>
      <c r="M623" s="10" t="n">
        <v>632960</v>
      </c>
      <c r="N623" s="10" t="n">
        <v>0</v>
      </c>
      <c r="O623" s="10" t="n">
        <v>0</v>
      </c>
      <c r="P623" s="10" t="n">
        <v>0</v>
      </c>
      <c r="Q623" s="10" t="n">
        <v>632960</v>
      </c>
      <c r="R623" s="10" t="n">
        <v>0</v>
      </c>
      <c r="S623" s="10" t="n">
        <v>0</v>
      </c>
      <c r="T623" s="7"/>
      <c r="U623" s="7"/>
      <c r="V623" s="7"/>
      <c r="W623" s="7" t="s">
        <v>49</v>
      </c>
      <c r="X623" s="7"/>
      <c r="Y623" s="7" t="s">
        <v>37</v>
      </c>
      <c r="Z623" s="7" t="s">
        <v>2258</v>
      </c>
      <c r="AA623" s="7" t="s">
        <v>2259</v>
      </c>
      <c r="AB623" s="10" t="n">
        <v>632960</v>
      </c>
      <c r="AC623" s="10" t="n">
        <v>1</v>
      </c>
    </row>
    <row r="624" customFormat="false" ht="15.75" hidden="true" customHeight="true" outlineLevel="0" collapsed="false">
      <c r="A624" s="6"/>
      <c r="B624" s="7" t="s">
        <v>1919</v>
      </c>
      <c r="C624" s="7" t="s">
        <v>31</v>
      </c>
      <c r="D624" s="7" t="s">
        <v>337</v>
      </c>
      <c r="E624" s="7" t="s">
        <v>1717</v>
      </c>
      <c r="F624" s="8" t="s">
        <v>2260</v>
      </c>
      <c r="G624" s="9" t="n">
        <f aca="false">DATE(2000+VALUE(MID(F624,7,2)),VALUE(MID(F624,4,2)),VALUE(LEFT(F624,2)))</f>
        <v>45549</v>
      </c>
      <c r="H624" s="8" t="s">
        <v>2261</v>
      </c>
      <c r="I624" s="9" t="n">
        <f aca="false">DATE(2000+VALUE(MID(H624,7,2)),VALUE(MID(H624,4,2)),VALUE(LEFT(H624,2)))</f>
        <v>45550</v>
      </c>
      <c r="J624" s="9"/>
      <c r="K624" s="10" t="n">
        <v>650000</v>
      </c>
      <c r="L624" s="10" t="n">
        <v>0</v>
      </c>
      <c r="M624" s="10" t="n">
        <v>650000</v>
      </c>
      <c r="N624" s="10" t="n">
        <v>0</v>
      </c>
      <c r="O624" s="10" t="n">
        <v>0</v>
      </c>
      <c r="P624" s="10" t="n">
        <v>0</v>
      </c>
      <c r="Q624" s="10" t="n">
        <v>650000</v>
      </c>
      <c r="R624" s="10" t="n">
        <v>0</v>
      </c>
      <c r="S624" s="10" t="n">
        <v>0</v>
      </c>
      <c r="T624" s="7"/>
      <c r="U624" s="7"/>
      <c r="V624" s="7"/>
      <c r="W624" s="7" t="s">
        <v>43</v>
      </c>
      <c r="X624" s="7"/>
      <c r="Y624" s="7" t="s">
        <v>37</v>
      </c>
      <c r="Z624" s="7" t="s">
        <v>2262</v>
      </c>
      <c r="AA624" s="7"/>
      <c r="AB624" s="10" t="n">
        <v>650000</v>
      </c>
      <c r="AC624" s="10" t="n">
        <v>1</v>
      </c>
    </row>
    <row r="625" customFormat="false" ht="15.75" hidden="true" customHeight="true" outlineLevel="0" collapsed="false">
      <c r="A625" s="6"/>
      <c r="B625" s="7" t="s">
        <v>1905</v>
      </c>
      <c r="C625" s="7" t="s">
        <v>65</v>
      </c>
      <c r="D625" s="7" t="s">
        <v>66</v>
      </c>
      <c r="E625" s="7" t="s">
        <v>202</v>
      </c>
      <c r="F625" s="8" t="s">
        <v>2263</v>
      </c>
      <c r="G625" s="9" t="n">
        <f aca="false">DATE(2000+VALUE(MID(F625,7,2)),VALUE(MID(F625,4,2)),VALUE(LEFT(F625,2)))</f>
        <v>45549</v>
      </c>
      <c r="H625" s="8" t="s">
        <v>2264</v>
      </c>
      <c r="I625" s="9" t="n">
        <f aca="false">DATE(2000+VALUE(MID(H625,7,2)),VALUE(MID(H625,4,2)),VALUE(LEFT(H625,2)))</f>
        <v>45550</v>
      </c>
      <c r="J625" s="9"/>
      <c r="K625" s="10" t="n">
        <v>550000</v>
      </c>
      <c r="L625" s="10" t="n">
        <v>0</v>
      </c>
      <c r="M625" s="10" t="n">
        <v>550000</v>
      </c>
      <c r="N625" s="10" t="n">
        <v>0</v>
      </c>
      <c r="O625" s="10" t="n">
        <v>0</v>
      </c>
      <c r="P625" s="10" t="n">
        <v>0</v>
      </c>
      <c r="Q625" s="10" t="n">
        <v>550000</v>
      </c>
      <c r="R625" s="10" t="n">
        <v>0</v>
      </c>
      <c r="S625" s="10" t="n">
        <v>0</v>
      </c>
      <c r="T625" s="7"/>
      <c r="U625" s="7"/>
      <c r="V625" s="7"/>
      <c r="W625" s="7" t="s">
        <v>43</v>
      </c>
      <c r="X625" s="7"/>
      <c r="Y625" s="7" t="s">
        <v>37</v>
      </c>
      <c r="Z625" s="7" t="s">
        <v>2265</v>
      </c>
      <c r="AA625" s="7"/>
      <c r="AB625" s="10" t="n">
        <v>550000</v>
      </c>
      <c r="AC625" s="10" t="n">
        <v>1</v>
      </c>
    </row>
    <row r="626" customFormat="false" ht="15.75" hidden="true" customHeight="true" outlineLevel="0" collapsed="false">
      <c r="A626" s="6"/>
      <c r="B626" s="7" t="s">
        <v>1826</v>
      </c>
      <c r="C626" s="7" t="s">
        <v>60</v>
      </c>
      <c r="D626" s="7" t="s">
        <v>164</v>
      </c>
      <c r="E626" s="7" t="s">
        <v>2266</v>
      </c>
      <c r="F626" s="8" t="s">
        <v>2267</v>
      </c>
      <c r="G626" s="9" t="n">
        <f aca="false">DATE(2000+VALUE(MID(F626,7,2)),VALUE(MID(F626,4,2)),VALUE(LEFT(F626,2)))</f>
        <v>45548</v>
      </c>
      <c r="H626" s="8" t="s">
        <v>2268</v>
      </c>
      <c r="I626" s="9" t="n">
        <f aca="false">DATE(2000+VALUE(MID(H626,7,2)),VALUE(MID(H626,4,2)),VALUE(LEFT(H626,2)))</f>
        <v>45550</v>
      </c>
      <c r="J626" s="9"/>
      <c r="K626" s="10" t="n">
        <v>1116350</v>
      </c>
      <c r="L626" s="10" t="n">
        <v>0</v>
      </c>
      <c r="M626" s="10" t="n">
        <v>1116350</v>
      </c>
      <c r="N626" s="10" t="n">
        <v>0</v>
      </c>
      <c r="O626" s="10" t="n">
        <v>0</v>
      </c>
      <c r="P626" s="10" t="n">
        <v>0</v>
      </c>
      <c r="Q626" s="10" t="n">
        <v>0</v>
      </c>
      <c r="R626" s="10" t="n">
        <v>1116350</v>
      </c>
      <c r="S626" s="10" t="n">
        <v>0</v>
      </c>
      <c r="T626" s="7"/>
      <c r="U626" s="7"/>
      <c r="V626" s="7"/>
      <c r="W626" s="7" t="s">
        <v>49</v>
      </c>
      <c r="X626" s="7"/>
      <c r="Y626" s="7" t="s">
        <v>37</v>
      </c>
      <c r="Z626" s="7" t="s">
        <v>2269</v>
      </c>
      <c r="AA626" s="7" t="s">
        <v>2270</v>
      </c>
      <c r="AB626" s="10" t="n">
        <v>558175</v>
      </c>
      <c r="AC626" s="10" t="n">
        <v>2</v>
      </c>
    </row>
    <row r="627" customFormat="false" ht="15.75" hidden="true" customHeight="true" outlineLevel="0" collapsed="false">
      <c r="A627" s="6"/>
      <c r="B627" s="7" t="s">
        <v>1905</v>
      </c>
      <c r="C627" s="7" t="s">
        <v>60</v>
      </c>
      <c r="D627" s="7" t="s">
        <v>173</v>
      </c>
      <c r="E627" s="7" t="s">
        <v>2271</v>
      </c>
      <c r="F627" s="8" t="s">
        <v>2272</v>
      </c>
      <c r="G627" s="9" t="n">
        <f aca="false">DATE(2000+VALUE(MID(F627,7,2)),VALUE(MID(F627,4,2)),VALUE(LEFT(F627,2)))</f>
        <v>45549</v>
      </c>
      <c r="H627" s="8" t="s">
        <v>2268</v>
      </c>
      <c r="I627" s="9" t="n">
        <f aca="false">DATE(2000+VALUE(MID(H627,7,2)),VALUE(MID(H627,4,2)),VALUE(LEFT(H627,2)))</f>
        <v>45550</v>
      </c>
      <c r="J627" s="9"/>
      <c r="K627" s="10" t="n">
        <v>550000</v>
      </c>
      <c r="L627" s="10" t="n">
        <v>0</v>
      </c>
      <c r="M627" s="10" t="n">
        <v>550000</v>
      </c>
      <c r="N627" s="10" t="n">
        <v>0</v>
      </c>
      <c r="O627" s="10" t="n">
        <v>0</v>
      </c>
      <c r="P627" s="10" t="n">
        <v>0</v>
      </c>
      <c r="Q627" s="10" t="n">
        <v>550000</v>
      </c>
      <c r="R627" s="10" t="n">
        <v>0</v>
      </c>
      <c r="S627" s="10" t="n">
        <v>0</v>
      </c>
      <c r="T627" s="7"/>
      <c r="U627" s="7"/>
      <c r="V627" s="7"/>
      <c r="W627" s="7" t="s">
        <v>43</v>
      </c>
      <c r="X627" s="7"/>
      <c r="Y627" s="7" t="s">
        <v>37</v>
      </c>
      <c r="Z627" s="7" t="s">
        <v>2273</v>
      </c>
      <c r="AA627" s="7"/>
      <c r="AB627" s="10" t="n">
        <v>550000</v>
      </c>
      <c r="AC627" s="10" t="n">
        <v>1</v>
      </c>
    </row>
    <row r="628" customFormat="false" ht="15.75" hidden="true" customHeight="true" outlineLevel="0" collapsed="false">
      <c r="A628" s="6"/>
      <c r="B628" s="7" t="s">
        <v>1905</v>
      </c>
      <c r="C628" s="7" t="s">
        <v>65</v>
      </c>
      <c r="D628" s="7" t="s">
        <v>76</v>
      </c>
      <c r="E628" s="7" t="s">
        <v>202</v>
      </c>
      <c r="F628" s="8" t="s">
        <v>2274</v>
      </c>
      <c r="G628" s="9" t="n">
        <f aca="false">DATE(2000+VALUE(MID(F628,7,2)),VALUE(MID(F628,4,2)),VALUE(LEFT(F628,2)))</f>
        <v>45549</v>
      </c>
      <c r="H628" s="8" t="s">
        <v>2268</v>
      </c>
      <c r="I628" s="9" t="n">
        <f aca="false">DATE(2000+VALUE(MID(H628,7,2)),VALUE(MID(H628,4,2)),VALUE(LEFT(H628,2)))</f>
        <v>45550</v>
      </c>
      <c r="J628" s="9"/>
      <c r="K628" s="10" t="n">
        <v>550000</v>
      </c>
      <c r="L628" s="10" t="n">
        <v>0</v>
      </c>
      <c r="M628" s="10" t="n">
        <v>550000</v>
      </c>
      <c r="N628" s="10" t="n">
        <v>0</v>
      </c>
      <c r="O628" s="10" t="n">
        <v>0</v>
      </c>
      <c r="P628" s="10" t="n">
        <v>0</v>
      </c>
      <c r="Q628" s="10" t="n">
        <v>550000</v>
      </c>
      <c r="R628" s="10" t="n">
        <v>0</v>
      </c>
      <c r="S628" s="10" t="n">
        <v>0</v>
      </c>
      <c r="T628" s="7"/>
      <c r="U628" s="7"/>
      <c r="V628" s="7"/>
      <c r="W628" s="7" t="s">
        <v>43</v>
      </c>
      <c r="X628" s="7"/>
      <c r="Y628" s="7" t="s">
        <v>37</v>
      </c>
      <c r="Z628" s="7" t="s">
        <v>2275</v>
      </c>
      <c r="AA628" s="7"/>
      <c r="AB628" s="10" t="n">
        <v>550000</v>
      </c>
      <c r="AC628" s="10" t="n">
        <v>1</v>
      </c>
    </row>
    <row r="629" customFormat="false" ht="15.75" hidden="true" customHeight="true" outlineLevel="0" collapsed="false">
      <c r="A629" s="6"/>
      <c r="B629" s="7" t="s">
        <v>2276</v>
      </c>
      <c r="C629" s="7" t="s">
        <v>71</v>
      </c>
      <c r="D629" s="7" t="s">
        <v>92</v>
      </c>
      <c r="E629" s="7" t="s">
        <v>2277</v>
      </c>
      <c r="F629" s="8" t="s">
        <v>2278</v>
      </c>
      <c r="G629" s="9" t="n">
        <f aca="false">DATE(2000+VALUE(MID(F629,7,2)),VALUE(MID(F629,4,2)),VALUE(LEFT(F629,2)))</f>
        <v>45549</v>
      </c>
      <c r="H629" s="8" t="s">
        <v>2268</v>
      </c>
      <c r="I629" s="9" t="n">
        <f aca="false">DATE(2000+VALUE(MID(H629,7,2)),VALUE(MID(H629,4,2)),VALUE(LEFT(H629,2)))</f>
        <v>45550</v>
      </c>
      <c r="J629" s="9"/>
      <c r="K629" s="10" t="n">
        <v>555750</v>
      </c>
      <c r="L629" s="10" t="n">
        <v>0</v>
      </c>
      <c r="M629" s="10" t="n">
        <v>555750</v>
      </c>
      <c r="N629" s="10" t="n">
        <v>0</v>
      </c>
      <c r="O629" s="10" t="n">
        <v>0</v>
      </c>
      <c r="P629" s="10" t="n">
        <v>0</v>
      </c>
      <c r="Q629" s="10" t="n">
        <v>0</v>
      </c>
      <c r="R629" s="10" t="n">
        <v>555750</v>
      </c>
      <c r="S629" s="10" t="n">
        <v>0</v>
      </c>
      <c r="T629" s="7"/>
      <c r="U629" s="7"/>
      <c r="V629" s="7"/>
      <c r="W629" s="7" t="s">
        <v>222</v>
      </c>
      <c r="X629" s="7"/>
      <c r="Y629" s="7" t="s">
        <v>37</v>
      </c>
      <c r="Z629" s="7" t="s">
        <v>2279</v>
      </c>
      <c r="AA629" s="7"/>
      <c r="AB629" s="10" t="n">
        <v>555750</v>
      </c>
      <c r="AC629" s="10" t="n">
        <v>1</v>
      </c>
    </row>
    <row r="630" customFormat="false" ht="15.75" hidden="true" customHeight="true" outlineLevel="0" collapsed="false">
      <c r="A630" s="6"/>
      <c r="B630" s="7" t="s">
        <v>1924</v>
      </c>
      <c r="C630" s="7" t="s">
        <v>60</v>
      </c>
      <c r="D630" s="7" t="s">
        <v>164</v>
      </c>
      <c r="E630" s="7" t="s">
        <v>2266</v>
      </c>
      <c r="F630" s="8" t="s">
        <v>2280</v>
      </c>
      <c r="G630" s="9" t="n">
        <f aca="false">DATE(2000+VALUE(MID(F630,7,2)),VALUE(MID(F630,4,2)),VALUE(LEFT(F630,2)))</f>
        <v>45550</v>
      </c>
      <c r="H630" s="8" t="s">
        <v>2281</v>
      </c>
      <c r="I630" s="9" t="n">
        <f aca="false">DATE(2000+VALUE(MID(H630,7,2)),VALUE(MID(H630,4,2)),VALUE(LEFT(H630,2)))</f>
        <v>45550</v>
      </c>
      <c r="J630" s="9"/>
      <c r="K630" s="10" t="n">
        <v>320000</v>
      </c>
      <c r="L630" s="10" t="n">
        <v>0</v>
      </c>
      <c r="M630" s="10" t="n">
        <v>320000</v>
      </c>
      <c r="N630" s="10" t="n">
        <v>0</v>
      </c>
      <c r="O630" s="10" t="n">
        <v>320000</v>
      </c>
      <c r="P630" s="10" t="n">
        <v>0</v>
      </c>
      <c r="Q630" s="10" t="n">
        <v>0</v>
      </c>
      <c r="R630" s="10" t="n">
        <v>0</v>
      </c>
      <c r="S630" s="10" t="n">
        <v>0</v>
      </c>
      <c r="T630" s="7"/>
      <c r="U630" s="7"/>
      <c r="V630" s="7"/>
      <c r="W630" s="7" t="s">
        <v>36</v>
      </c>
      <c r="X630" s="7"/>
      <c r="Y630" s="7" t="s">
        <v>37</v>
      </c>
      <c r="Z630" s="7" t="s">
        <v>2282</v>
      </c>
      <c r="AA630" s="7"/>
      <c r="AB630" s="10" t="n">
        <v>320000</v>
      </c>
      <c r="AC630" s="10" t="n">
        <v>1</v>
      </c>
    </row>
    <row r="631" customFormat="false" ht="15.75" hidden="true" customHeight="true" outlineLevel="0" collapsed="false">
      <c r="A631" s="6"/>
      <c r="B631" s="7" t="s">
        <v>2283</v>
      </c>
      <c r="C631" s="7" t="s">
        <v>65</v>
      </c>
      <c r="D631" s="7" t="s">
        <v>96</v>
      </c>
      <c r="E631" s="7" t="s">
        <v>2284</v>
      </c>
      <c r="F631" s="8" t="s">
        <v>2285</v>
      </c>
      <c r="G631" s="9" t="n">
        <f aca="false">DATE(2000+VALUE(MID(F631,7,2)),VALUE(MID(F631,4,2)),VALUE(LEFT(F631,2)))</f>
        <v>45550</v>
      </c>
      <c r="H631" s="8" t="s">
        <v>2286</v>
      </c>
      <c r="I631" s="9" t="n">
        <f aca="false">DATE(2000+VALUE(MID(H631,7,2)),VALUE(MID(H631,4,2)),VALUE(LEFT(H631,2)))</f>
        <v>45551</v>
      </c>
      <c r="J631" s="9"/>
      <c r="K631" s="10" t="n">
        <v>444000</v>
      </c>
      <c r="L631" s="10" t="n">
        <v>40000</v>
      </c>
      <c r="M631" s="10" t="n">
        <v>484000</v>
      </c>
      <c r="N631" s="10" t="n">
        <v>0</v>
      </c>
      <c r="O631" s="10" t="n">
        <v>262000</v>
      </c>
      <c r="P631" s="10" t="n">
        <v>0</v>
      </c>
      <c r="Q631" s="10" t="n">
        <v>222000</v>
      </c>
      <c r="R631" s="10" t="n">
        <v>0</v>
      </c>
      <c r="S631" s="10" t="n">
        <v>0</v>
      </c>
      <c r="T631" s="7"/>
      <c r="U631" s="7"/>
      <c r="V631" s="7"/>
      <c r="W631" s="7" t="s">
        <v>43</v>
      </c>
      <c r="X631" s="7"/>
      <c r="Y631" s="7" t="s">
        <v>37</v>
      </c>
      <c r="Z631" s="7" t="s">
        <v>2287</v>
      </c>
      <c r="AA631" s="7"/>
      <c r="AB631" s="10" t="n">
        <v>444000</v>
      </c>
      <c r="AC631" s="10" t="n">
        <v>1</v>
      </c>
    </row>
    <row r="632" customFormat="false" ht="15.75" hidden="true" customHeight="true" outlineLevel="0" collapsed="false">
      <c r="A632" s="6"/>
      <c r="B632" s="7" t="s">
        <v>1888</v>
      </c>
      <c r="C632" s="7" t="s">
        <v>71</v>
      </c>
      <c r="D632" s="7" t="s">
        <v>72</v>
      </c>
      <c r="E632" s="7" t="s">
        <v>2288</v>
      </c>
      <c r="F632" s="8" t="s">
        <v>2289</v>
      </c>
      <c r="G632" s="9" t="n">
        <f aca="false">DATE(2000+VALUE(MID(F632,7,2)),VALUE(MID(F632,4,2)),VALUE(LEFT(F632,2)))</f>
        <v>45546</v>
      </c>
      <c r="H632" s="8" t="s">
        <v>2286</v>
      </c>
      <c r="I632" s="9" t="n">
        <f aca="false">DATE(2000+VALUE(MID(H632,7,2)),VALUE(MID(H632,4,2)),VALUE(LEFT(H632,2)))</f>
        <v>45551</v>
      </c>
      <c r="J632" s="9"/>
      <c r="K632" s="10" t="n">
        <v>3250000</v>
      </c>
      <c r="L632" s="10" t="n">
        <v>640000</v>
      </c>
      <c r="M632" s="10" t="n">
        <v>3890000</v>
      </c>
      <c r="N632" s="10" t="n">
        <v>0</v>
      </c>
      <c r="O632" s="10" t="n">
        <v>3890000</v>
      </c>
      <c r="P632" s="10" t="n">
        <v>0</v>
      </c>
      <c r="Q632" s="10" t="n">
        <v>0</v>
      </c>
      <c r="R632" s="10" t="n">
        <v>0</v>
      </c>
      <c r="S632" s="10" t="n">
        <v>0</v>
      </c>
      <c r="T632" s="7"/>
      <c r="U632" s="7"/>
      <c r="V632" s="7"/>
      <c r="W632" s="7" t="s">
        <v>43</v>
      </c>
      <c r="X632" s="7"/>
      <c r="Y632" s="7" t="s">
        <v>37</v>
      </c>
      <c r="Z632" s="7" t="s">
        <v>2290</v>
      </c>
      <c r="AA632" s="7"/>
      <c r="AB632" s="10" t="n">
        <v>650000</v>
      </c>
      <c r="AC632" s="10" t="n">
        <v>5</v>
      </c>
    </row>
    <row r="633" customFormat="false" ht="15.75" hidden="true" customHeight="true" outlineLevel="0" collapsed="false">
      <c r="A633" s="6"/>
      <c r="B633" s="7" t="s">
        <v>2291</v>
      </c>
      <c r="C633" s="7" t="s">
        <v>31</v>
      </c>
      <c r="D633" s="7" t="s">
        <v>361</v>
      </c>
      <c r="E633" s="7" t="s">
        <v>2292</v>
      </c>
      <c r="F633" s="8" t="s">
        <v>2293</v>
      </c>
      <c r="G633" s="9" t="n">
        <f aca="false">DATE(2000+VALUE(MID(F633,7,2)),VALUE(MID(F633,4,2)),VALUE(LEFT(F633,2)))</f>
        <v>45549</v>
      </c>
      <c r="H633" s="8" t="s">
        <v>2286</v>
      </c>
      <c r="I633" s="9" t="n">
        <f aca="false">DATE(2000+VALUE(MID(H633,7,2)),VALUE(MID(H633,4,2)),VALUE(LEFT(H633,2)))</f>
        <v>45551</v>
      </c>
      <c r="J633" s="9"/>
      <c r="K633" s="10" t="n">
        <v>1222640</v>
      </c>
      <c r="L633" s="10" t="n">
        <v>100000</v>
      </c>
      <c r="M633" s="10" t="n">
        <v>1322640</v>
      </c>
      <c r="N633" s="10" t="n">
        <v>0</v>
      </c>
      <c r="O633" s="10" t="n">
        <v>100000</v>
      </c>
      <c r="P633" s="10" t="n">
        <v>0</v>
      </c>
      <c r="Q633" s="10" t="n">
        <v>0</v>
      </c>
      <c r="R633" s="10" t="n">
        <v>1222640</v>
      </c>
      <c r="S633" s="10" t="n">
        <v>0</v>
      </c>
      <c r="T633" s="7"/>
      <c r="U633" s="7"/>
      <c r="V633" s="7"/>
      <c r="W633" s="7" t="s">
        <v>49</v>
      </c>
      <c r="X633" s="7"/>
      <c r="Y633" s="7" t="s">
        <v>37</v>
      </c>
      <c r="Z633" s="7" t="s">
        <v>2294</v>
      </c>
      <c r="AA633" s="7" t="s">
        <v>2295</v>
      </c>
      <c r="AB633" s="10" t="n">
        <v>611320</v>
      </c>
      <c r="AC633" s="10" t="n">
        <v>2</v>
      </c>
    </row>
    <row r="634" customFormat="false" ht="15.75" hidden="true" customHeight="true" outlineLevel="0" collapsed="false">
      <c r="A634" s="6"/>
      <c r="B634" s="7" t="s">
        <v>2039</v>
      </c>
      <c r="C634" s="7" t="s">
        <v>65</v>
      </c>
      <c r="D634" s="7" t="s">
        <v>76</v>
      </c>
      <c r="E634" s="7" t="s">
        <v>2296</v>
      </c>
      <c r="F634" s="8" t="s">
        <v>2297</v>
      </c>
      <c r="G634" s="9" t="n">
        <f aca="false">DATE(2000+VALUE(MID(F634,7,2)),VALUE(MID(F634,4,2)),VALUE(LEFT(F634,2)))</f>
        <v>45550</v>
      </c>
      <c r="H634" s="8" t="s">
        <v>2286</v>
      </c>
      <c r="I634" s="9" t="n">
        <f aca="false">DATE(2000+VALUE(MID(H634,7,2)),VALUE(MID(H634,4,2)),VALUE(LEFT(H634,2)))</f>
        <v>45551</v>
      </c>
      <c r="J634" s="9"/>
      <c r="K634" s="10" t="n">
        <v>377712</v>
      </c>
      <c r="L634" s="10" t="n">
        <v>0</v>
      </c>
      <c r="M634" s="10" t="n">
        <v>377712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377712</v>
      </c>
      <c r="S634" s="10" t="n">
        <v>0</v>
      </c>
      <c r="T634" s="7"/>
      <c r="U634" s="7"/>
      <c r="V634" s="7"/>
      <c r="W634" s="7" t="s">
        <v>49</v>
      </c>
      <c r="X634" s="7"/>
      <c r="Y634" s="7" t="s">
        <v>37</v>
      </c>
      <c r="Z634" s="7" t="s">
        <v>2298</v>
      </c>
      <c r="AA634" s="7" t="s">
        <v>2299</v>
      </c>
      <c r="AB634" s="10" t="n">
        <v>377712</v>
      </c>
      <c r="AC634" s="10" t="n">
        <v>1</v>
      </c>
    </row>
    <row r="635" customFormat="false" ht="15.75" hidden="true" customHeight="true" outlineLevel="0" collapsed="false">
      <c r="A635" s="6"/>
      <c r="B635" s="7" t="s">
        <v>2300</v>
      </c>
      <c r="C635" s="7" t="s">
        <v>31</v>
      </c>
      <c r="D635" s="7" t="s">
        <v>39</v>
      </c>
      <c r="E635" s="7" t="s">
        <v>2301</v>
      </c>
      <c r="F635" s="8" t="s">
        <v>2302</v>
      </c>
      <c r="G635" s="9" t="n">
        <f aca="false">DATE(2000+VALUE(MID(F635,7,2)),VALUE(MID(F635,4,2)),VALUE(LEFT(F635,2)))</f>
        <v>45548</v>
      </c>
      <c r="H635" s="8" t="s">
        <v>2303</v>
      </c>
      <c r="I635" s="9" t="n">
        <f aca="false">DATE(2000+VALUE(MID(H635,7,2)),VALUE(MID(H635,4,2)),VALUE(LEFT(H635,2)))</f>
        <v>45552</v>
      </c>
      <c r="J635" s="9"/>
      <c r="K635" s="10" t="n">
        <v>2589100</v>
      </c>
      <c r="L635" s="10" t="n">
        <v>0</v>
      </c>
      <c r="M635" s="10" t="n">
        <v>2589100</v>
      </c>
      <c r="N635" s="10" t="n">
        <v>0</v>
      </c>
      <c r="O635" s="10" t="n">
        <v>0</v>
      </c>
      <c r="P635" s="10" t="n">
        <v>0</v>
      </c>
      <c r="Q635" s="10" t="n">
        <v>0</v>
      </c>
      <c r="R635" s="10" t="n">
        <v>2589100</v>
      </c>
      <c r="S635" s="10" t="n">
        <v>0</v>
      </c>
      <c r="T635" s="7"/>
      <c r="U635" s="7"/>
      <c r="V635" s="7"/>
      <c r="W635" s="7" t="s">
        <v>49</v>
      </c>
      <c r="X635" s="7"/>
      <c r="Y635" s="7" t="s">
        <v>37</v>
      </c>
      <c r="Z635" s="7" t="s">
        <v>2304</v>
      </c>
      <c r="AA635" s="7" t="s">
        <v>2305</v>
      </c>
      <c r="AB635" s="10" t="n">
        <v>647275</v>
      </c>
      <c r="AC635" s="10" t="n">
        <v>4</v>
      </c>
    </row>
    <row r="636" customFormat="false" ht="15.75" hidden="true" customHeight="true" outlineLevel="0" collapsed="false">
      <c r="A636" s="6"/>
      <c r="B636" s="7" t="s">
        <v>1892</v>
      </c>
      <c r="C636" s="7" t="s">
        <v>65</v>
      </c>
      <c r="D636" s="7" t="s">
        <v>156</v>
      </c>
      <c r="E636" s="7" t="s">
        <v>2306</v>
      </c>
      <c r="F636" s="8" t="s">
        <v>2307</v>
      </c>
      <c r="G636" s="9" t="n">
        <f aca="false">DATE(2000+VALUE(MID(F636,7,2)),VALUE(MID(F636,4,2)),VALUE(LEFT(F636,2)))</f>
        <v>45546</v>
      </c>
      <c r="H636" s="8" t="s">
        <v>2308</v>
      </c>
      <c r="I636" s="9" t="n">
        <f aca="false">DATE(2000+VALUE(MID(H636,7,2)),VALUE(MID(H636,4,2)),VALUE(LEFT(H636,2)))</f>
        <v>45552</v>
      </c>
      <c r="J636" s="9"/>
      <c r="K636" s="10" t="n">
        <v>3144000</v>
      </c>
      <c r="L636" s="10" t="n">
        <v>70000</v>
      </c>
      <c r="M636" s="10" t="n">
        <v>3214000</v>
      </c>
      <c r="N636" s="10" t="n">
        <v>0</v>
      </c>
      <c r="O636" s="10" t="n">
        <v>2214000</v>
      </c>
      <c r="P636" s="10" t="n">
        <v>0</v>
      </c>
      <c r="Q636" s="10" t="n">
        <v>1000000</v>
      </c>
      <c r="R636" s="10" t="n">
        <v>0</v>
      </c>
      <c r="S636" s="10" t="n">
        <v>0</v>
      </c>
      <c r="T636" s="7"/>
      <c r="U636" s="7"/>
      <c r="V636" s="7"/>
      <c r="W636" s="7" t="s">
        <v>43</v>
      </c>
      <c r="X636" s="7"/>
      <c r="Y636" s="7" t="s">
        <v>37</v>
      </c>
      <c r="Z636" s="7" t="s">
        <v>2309</v>
      </c>
      <c r="AA636" s="7"/>
      <c r="AB636" s="10" t="n">
        <v>524000</v>
      </c>
      <c r="AC636" s="10" t="n">
        <v>6</v>
      </c>
    </row>
    <row r="637" customFormat="false" ht="15.75" hidden="true" customHeight="true" outlineLevel="0" collapsed="false">
      <c r="A637" s="6"/>
      <c r="B637" s="7" t="s">
        <v>2034</v>
      </c>
      <c r="C637" s="7" t="s">
        <v>60</v>
      </c>
      <c r="D637" s="7" t="s">
        <v>116</v>
      </c>
      <c r="E637" s="7" t="s">
        <v>2310</v>
      </c>
      <c r="F637" s="8" t="s">
        <v>2311</v>
      </c>
      <c r="G637" s="9" t="n">
        <f aca="false">DATE(2000+VALUE(MID(F637,7,2)),VALUE(MID(F637,4,2)),VALUE(LEFT(F637,2)))</f>
        <v>45547</v>
      </c>
      <c r="H637" s="8" t="s">
        <v>2308</v>
      </c>
      <c r="I637" s="9" t="n">
        <f aca="false">DATE(2000+VALUE(MID(H637,7,2)),VALUE(MID(H637,4,2)),VALUE(LEFT(H637,2)))</f>
        <v>45552</v>
      </c>
      <c r="J637" s="9"/>
      <c r="K637" s="10" t="n">
        <v>2500000</v>
      </c>
      <c r="L637" s="10" t="n">
        <v>0</v>
      </c>
      <c r="M637" s="10" t="n">
        <v>2500000</v>
      </c>
      <c r="N637" s="10" t="n">
        <v>0</v>
      </c>
      <c r="O637" s="10" t="n">
        <v>2500000</v>
      </c>
      <c r="P637" s="10" t="n">
        <v>0</v>
      </c>
      <c r="Q637" s="10" t="n">
        <v>0</v>
      </c>
      <c r="R637" s="10" t="n">
        <v>0</v>
      </c>
      <c r="S637" s="10" t="n">
        <v>0</v>
      </c>
      <c r="T637" s="7"/>
      <c r="U637" s="7"/>
      <c r="V637" s="7"/>
      <c r="W637" s="7" t="s">
        <v>43</v>
      </c>
      <c r="X637" s="7"/>
      <c r="Y637" s="7" t="s">
        <v>37</v>
      </c>
      <c r="Z637" s="7" t="s">
        <v>2312</v>
      </c>
      <c r="AA637" s="7"/>
      <c r="AB637" s="10" t="n">
        <v>500000</v>
      </c>
      <c r="AC637" s="10" t="n">
        <v>5</v>
      </c>
    </row>
    <row r="638" customFormat="false" ht="15.75" hidden="true" customHeight="true" outlineLevel="0" collapsed="false">
      <c r="A638" s="6"/>
      <c r="B638" s="7" t="s">
        <v>2034</v>
      </c>
      <c r="C638" s="7" t="s">
        <v>65</v>
      </c>
      <c r="D638" s="7" t="s">
        <v>82</v>
      </c>
      <c r="E638" s="7" t="s">
        <v>2313</v>
      </c>
      <c r="F638" s="8" t="s">
        <v>2231</v>
      </c>
      <c r="G638" s="9" t="n">
        <f aca="false">DATE(2000+VALUE(MID(F638,7,2)),VALUE(MID(F638,4,2)),VALUE(LEFT(F638,2)))</f>
        <v>45547</v>
      </c>
      <c r="H638" s="8" t="s">
        <v>2308</v>
      </c>
      <c r="I638" s="9" t="n">
        <f aca="false">DATE(2000+VALUE(MID(H638,7,2)),VALUE(MID(H638,4,2)),VALUE(LEFT(H638,2)))</f>
        <v>45552</v>
      </c>
      <c r="J638" s="9"/>
      <c r="K638" s="10" t="n">
        <v>2100000</v>
      </c>
      <c r="L638" s="10" t="n">
        <v>200000</v>
      </c>
      <c r="M638" s="10" t="n">
        <v>2300000</v>
      </c>
      <c r="N638" s="10" t="n">
        <v>0</v>
      </c>
      <c r="O638" s="10" t="n">
        <v>2100000</v>
      </c>
      <c r="P638" s="10" t="n">
        <v>0</v>
      </c>
      <c r="Q638" s="10" t="n">
        <v>200000</v>
      </c>
      <c r="R638" s="10" t="n">
        <v>0</v>
      </c>
      <c r="S638" s="10" t="n">
        <v>0</v>
      </c>
      <c r="T638" s="7"/>
      <c r="U638" s="7"/>
      <c r="V638" s="7"/>
      <c r="W638" s="7" t="s">
        <v>43</v>
      </c>
      <c r="X638" s="7"/>
      <c r="Y638" s="7" t="s">
        <v>37</v>
      </c>
      <c r="Z638" s="7" t="s">
        <v>2314</v>
      </c>
      <c r="AA638" s="7"/>
      <c r="AB638" s="10" t="n">
        <v>420000</v>
      </c>
      <c r="AC638" s="10" t="n">
        <v>5</v>
      </c>
    </row>
    <row r="639" customFormat="false" ht="15.75" hidden="true" customHeight="true" outlineLevel="0" collapsed="false">
      <c r="A639" s="6"/>
      <c r="B639" s="7" t="s">
        <v>1771</v>
      </c>
      <c r="C639" s="7" t="s">
        <v>31</v>
      </c>
      <c r="D639" s="7" t="s">
        <v>45</v>
      </c>
      <c r="E639" s="7" t="s">
        <v>2315</v>
      </c>
      <c r="F639" s="8" t="s">
        <v>2316</v>
      </c>
      <c r="G639" s="9" t="n">
        <f aca="false">DATE(2000+VALUE(MID(F639,7,2)),VALUE(MID(F639,4,2)),VALUE(LEFT(F639,2)))</f>
        <v>45548</v>
      </c>
      <c r="H639" s="8" t="s">
        <v>2317</v>
      </c>
      <c r="I639" s="9" t="n">
        <f aca="false">DATE(2000+VALUE(MID(H639,7,2)),VALUE(MID(H639,4,2)),VALUE(LEFT(H639,2)))</f>
        <v>45552</v>
      </c>
      <c r="J639" s="9"/>
      <c r="K639" s="10" t="n">
        <v>3010360</v>
      </c>
      <c r="L639" s="10" t="n">
        <v>0</v>
      </c>
      <c r="M639" s="10" t="n">
        <v>3010360</v>
      </c>
      <c r="N639" s="10" t="n">
        <v>0</v>
      </c>
      <c r="O639" s="10" t="n">
        <v>0</v>
      </c>
      <c r="P639" s="10" t="n">
        <v>0</v>
      </c>
      <c r="Q639" s="10" t="n">
        <v>0</v>
      </c>
      <c r="R639" s="10" t="n">
        <v>3010360</v>
      </c>
      <c r="S639" s="10" t="n">
        <v>0</v>
      </c>
      <c r="T639" s="7"/>
      <c r="U639" s="7"/>
      <c r="V639" s="7"/>
      <c r="W639" s="7" t="s">
        <v>49</v>
      </c>
      <c r="X639" s="7"/>
      <c r="Y639" s="7" t="s">
        <v>37</v>
      </c>
      <c r="Z639" s="7" t="s">
        <v>2318</v>
      </c>
      <c r="AA639" s="7" t="s">
        <v>2319</v>
      </c>
      <c r="AB639" s="10" t="n">
        <v>752590</v>
      </c>
      <c r="AC639" s="10" t="n">
        <v>4</v>
      </c>
    </row>
    <row r="640" customFormat="false" ht="15.75" hidden="true" customHeight="true" outlineLevel="0" collapsed="false">
      <c r="A640" s="6"/>
      <c r="B640" s="7" t="s">
        <v>1935</v>
      </c>
      <c r="C640" s="7" t="s">
        <v>65</v>
      </c>
      <c r="D640" s="7" t="s">
        <v>76</v>
      </c>
      <c r="E640" s="7" t="s">
        <v>2320</v>
      </c>
      <c r="F640" s="8" t="s">
        <v>2321</v>
      </c>
      <c r="G640" s="9" t="n">
        <f aca="false">DATE(2000+VALUE(MID(F640,7,2)),VALUE(MID(F640,4,2)),VALUE(LEFT(F640,2)))</f>
        <v>45552</v>
      </c>
      <c r="H640" s="8" t="s">
        <v>2322</v>
      </c>
      <c r="I640" s="9" t="n">
        <f aca="false">DATE(2000+VALUE(MID(H640,7,2)),VALUE(MID(H640,4,2)),VALUE(LEFT(H640,2)))</f>
        <v>45552</v>
      </c>
      <c r="J640" s="9"/>
      <c r="K640" s="10" t="n">
        <v>350000</v>
      </c>
      <c r="L640" s="10" t="n">
        <v>0</v>
      </c>
      <c r="M640" s="10" t="n">
        <v>350000</v>
      </c>
      <c r="N640" s="10" t="n">
        <v>0</v>
      </c>
      <c r="O640" s="10" t="n">
        <v>0</v>
      </c>
      <c r="P640" s="10" t="n">
        <v>0</v>
      </c>
      <c r="Q640" s="10" t="n">
        <v>350000</v>
      </c>
      <c r="R640" s="10" t="n">
        <v>0</v>
      </c>
      <c r="S640" s="10" t="n">
        <v>0</v>
      </c>
      <c r="T640" s="7"/>
      <c r="U640" s="7"/>
      <c r="V640" s="7"/>
      <c r="W640" s="7" t="s">
        <v>43</v>
      </c>
      <c r="X640" s="7"/>
      <c r="Y640" s="7" t="s">
        <v>37</v>
      </c>
      <c r="Z640" s="7" t="s">
        <v>2323</v>
      </c>
      <c r="AA640" s="7"/>
      <c r="AB640" s="10" t="n">
        <v>350000</v>
      </c>
      <c r="AC640" s="10" t="n">
        <v>1</v>
      </c>
    </row>
    <row r="641" customFormat="false" ht="15.75" hidden="true" customHeight="true" outlineLevel="0" collapsed="false">
      <c r="A641" s="6"/>
      <c r="B641" s="7" t="s">
        <v>2324</v>
      </c>
      <c r="C641" s="7" t="s">
        <v>65</v>
      </c>
      <c r="D641" s="7" t="s">
        <v>96</v>
      </c>
      <c r="E641" s="7" t="s">
        <v>2325</v>
      </c>
      <c r="F641" s="8" t="s">
        <v>2326</v>
      </c>
      <c r="G641" s="9" t="n">
        <f aca="false">DATE(2000+VALUE(MID(F641,7,2)),VALUE(MID(F641,4,2)),VALUE(LEFT(F641,2)))</f>
        <v>45552</v>
      </c>
      <c r="H641" s="8" t="s">
        <v>2327</v>
      </c>
      <c r="I641" s="9" t="n">
        <f aca="false">DATE(2000+VALUE(MID(H641,7,2)),VALUE(MID(H641,4,2)),VALUE(LEFT(H641,2)))</f>
        <v>45552</v>
      </c>
      <c r="J641" s="9"/>
      <c r="K641" s="10" t="n">
        <v>444528</v>
      </c>
      <c r="L641" s="10" t="n">
        <v>0</v>
      </c>
      <c r="M641" s="10" t="n">
        <v>444528</v>
      </c>
      <c r="N641" s="10" t="n">
        <v>0</v>
      </c>
      <c r="O641" s="10" t="n">
        <v>0</v>
      </c>
      <c r="P641" s="10" t="n">
        <v>0</v>
      </c>
      <c r="Q641" s="10" t="n">
        <v>0</v>
      </c>
      <c r="R641" s="10" t="n">
        <v>444528</v>
      </c>
      <c r="S641" s="10" t="n">
        <v>0</v>
      </c>
      <c r="T641" s="7"/>
      <c r="U641" s="7"/>
      <c r="V641" s="7"/>
      <c r="W641" s="7" t="s">
        <v>49</v>
      </c>
      <c r="X641" s="7"/>
      <c r="Y641" s="7" t="s">
        <v>37</v>
      </c>
      <c r="Z641" s="7" t="s">
        <v>2328</v>
      </c>
      <c r="AA641" s="7" t="s">
        <v>2329</v>
      </c>
      <c r="AB641" s="10" t="n">
        <v>444528</v>
      </c>
      <c r="AC641" s="10" t="n">
        <v>1</v>
      </c>
    </row>
    <row r="642" customFormat="false" ht="15.75" hidden="true" customHeight="true" outlineLevel="0" collapsed="false">
      <c r="A642" s="6"/>
      <c r="B642" s="7" t="s">
        <v>1931</v>
      </c>
      <c r="C642" s="7" t="s">
        <v>65</v>
      </c>
      <c r="D642" s="7" t="s">
        <v>76</v>
      </c>
      <c r="E642" s="7" t="s">
        <v>2330</v>
      </c>
      <c r="F642" s="8" t="s">
        <v>2331</v>
      </c>
      <c r="G642" s="9" t="n">
        <f aca="false">DATE(2000+VALUE(MID(F642,7,2)),VALUE(MID(F642,4,2)),VALUE(LEFT(F642,2)))</f>
        <v>45552</v>
      </c>
      <c r="H642" s="8" t="s">
        <v>2332</v>
      </c>
      <c r="I642" s="9" t="n">
        <f aca="false">DATE(2000+VALUE(MID(H642,7,2)),VALUE(MID(H642,4,2)),VALUE(LEFT(H642,2)))</f>
        <v>45552</v>
      </c>
      <c r="J642" s="9"/>
      <c r="K642" s="10" t="n">
        <v>400000</v>
      </c>
      <c r="L642" s="10" t="n">
        <v>0</v>
      </c>
      <c r="M642" s="10" t="n">
        <v>400000</v>
      </c>
      <c r="N642" s="10" t="n">
        <v>0</v>
      </c>
      <c r="O642" s="10" t="n">
        <v>0</v>
      </c>
      <c r="P642" s="10" t="n">
        <v>0</v>
      </c>
      <c r="Q642" s="10" t="n">
        <v>400000</v>
      </c>
      <c r="R642" s="10" t="n">
        <v>0</v>
      </c>
      <c r="S642" s="10" t="n">
        <v>0</v>
      </c>
      <c r="T642" s="7"/>
      <c r="U642" s="7"/>
      <c r="V642" s="7"/>
      <c r="W642" s="7" t="s">
        <v>43</v>
      </c>
      <c r="X642" s="7"/>
      <c r="Y642" s="7" t="s">
        <v>37</v>
      </c>
      <c r="Z642" s="7" t="s">
        <v>2333</v>
      </c>
      <c r="AA642" s="7"/>
      <c r="AB642" s="10" t="n">
        <v>400000</v>
      </c>
      <c r="AC642" s="10" t="n">
        <v>1</v>
      </c>
    </row>
    <row r="643" customFormat="false" ht="15.75" hidden="true" customHeight="true" outlineLevel="0" collapsed="false">
      <c r="A643" s="6"/>
      <c r="B643" s="7" t="s">
        <v>1892</v>
      </c>
      <c r="C643" s="7" t="s">
        <v>31</v>
      </c>
      <c r="D643" s="7" t="s">
        <v>32</v>
      </c>
      <c r="E643" s="7" t="s">
        <v>2334</v>
      </c>
      <c r="F643" s="8" t="s">
        <v>2307</v>
      </c>
      <c r="G643" s="9" t="n">
        <f aca="false">DATE(2000+VALUE(MID(F643,7,2)),VALUE(MID(F643,4,2)),VALUE(LEFT(F643,2)))</f>
        <v>45546</v>
      </c>
      <c r="H643" s="8" t="s">
        <v>2335</v>
      </c>
      <c r="I643" s="9" t="n">
        <f aca="false">DATE(2000+VALUE(MID(H643,7,2)),VALUE(MID(H643,4,2)),VALUE(LEFT(H643,2)))</f>
        <v>45552</v>
      </c>
      <c r="J643" s="9"/>
      <c r="K643" s="10" t="n">
        <v>5211000</v>
      </c>
      <c r="L643" s="10" t="n">
        <v>0</v>
      </c>
      <c r="M643" s="10" t="n">
        <v>5211000</v>
      </c>
      <c r="N643" s="10" t="n">
        <v>0</v>
      </c>
      <c r="O643" s="10" t="n">
        <v>-4538000</v>
      </c>
      <c r="P643" s="10" t="n">
        <v>0</v>
      </c>
      <c r="Q643" s="10" t="n">
        <v>9749000</v>
      </c>
      <c r="R643" s="10" t="n">
        <v>0</v>
      </c>
      <c r="S643" s="10" t="n">
        <v>0</v>
      </c>
      <c r="T643" s="7"/>
      <c r="U643" s="7"/>
      <c r="V643" s="7"/>
      <c r="W643" s="7" t="s">
        <v>43</v>
      </c>
      <c r="X643" s="7"/>
      <c r="Y643" s="7" t="s">
        <v>37</v>
      </c>
      <c r="Z643" s="7" t="s">
        <v>2336</v>
      </c>
      <c r="AA643" s="7"/>
      <c r="AB643" s="10" t="n">
        <v>868500</v>
      </c>
      <c r="AC643" s="10" t="n">
        <v>6</v>
      </c>
    </row>
    <row r="644" customFormat="false" ht="15.75" hidden="true" customHeight="true" outlineLevel="0" collapsed="false">
      <c r="A644" s="6"/>
      <c r="B644" s="7" t="s">
        <v>1892</v>
      </c>
      <c r="C644" s="7" t="s">
        <v>31</v>
      </c>
      <c r="D644" s="7" t="s">
        <v>105</v>
      </c>
      <c r="E644" s="7" t="s">
        <v>2337</v>
      </c>
      <c r="F644" s="8" t="s">
        <v>2307</v>
      </c>
      <c r="G644" s="9" t="n">
        <f aca="false">DATE(2000+VALUE(MID(F644,7,2)),VALUE(MID(F644,4,2)),VALUE(LEFT(F644,2)))</f>
        <v>45546</v>
      </c>
      <c r="H644" s="8" t="s">
        <v>2335</v>
      </c>
      <c r="I644" s="9" t="n">
        <f aca="false">DATE(2000+VALUE(MID(H644,7,2)),VALUE(MID(H644,4,2)),VALUE(LEFT(H644,2)))</f>
        <v>45552</v>
      </c>
      <c r="J644" s="9"/>
      <c r="K644" s="10" t="n">
        <v>5243000</v>
      </c>
      <c r="L644" s="10" t="n">
        <v>0</v>
      </c>
      <c r="M644" s="10" t="n">
        <v>5243000</v>
      </c>
      <c r="N644" s="10" t="n">
        <v>0</v>
      </c>
      <c r="O644" s="10" t="n">
        <v>4494000</v>
      </c>
      <c r="P644" s="10" t="n">
        <v>0</v>
      </c>
      <c r="Q644" s="10" t="n">
        <v>749000</v>
      </c>
      <c r="R644" s="10" t="n">
        <v>0</v>
      </c>
      <c r="S644" s="10" t="n">
        <v>0</v>
      </c>
      <c r="T644" s="7"/>
      <c r="U644" s="7"/>
      <c r="V644" s="7"/>
      <c r="W644" s="7" t="s">
        <v>43</v>
      </c>
      <c r="X644" s="7"/>
      <c r="Y644" s="7" t="s">
        <v>37</v>
      </c>
      <c r="Z644" s="7" t="s">
        <v>2338</v>
      </c>
      <c r="AA644" s="7"/>
      <c r="AB644" s="10" t="n">
        <v>873833.3333</v>
      </c>
      <c r="AC644" s="10" t="n">
        <v>6</v>
      </c>
    </row>
    <row r="645" customFormat="false" ht="15.75" hidden="true" customHeight="true" outlineLevel="0" collapsed="false">
      <c r="A645" s="6"/>
      <c r="B645" s="7" t="s">
        <v>2005</v>
      </c>
      <c r="C645" s="7" t="s">
        <v>71</v>
      </c>
      <c r="D645" s="7" t="s">
        <v>72</v>
      </c>
      <c r="E645" s="7" t="s">
        <v>2339</v>
      </c>
      <c r="F645" s="8" t="s">
        <v>2340</v>
      </c>
      <c r="G645" s="9" t="n">
        <f aca="false">DATE(2000+VALUE(MID(F645,7,2)),VALUE(MID(F645,4,2)),VALUE(LEFT(F645,2)))</f>
        <v>45552</v>
      </c>
      <c r="H645" s="8" t="s">
        <v>2341</v>
      </c>
      <c r="I645" s="9" t="n">
        <f aca="false">DATE(2000+VALUE(MID(H645,7,2)),VALUE(MID(H645,4,2)),VALUE(LEFT(H645,2)))</f>
        <v>45553</v>
      </c>
      <c r="J645" s="9"/>
      <c r="K645" s="10" t="n">
        <v>479000</v>
      </c>
      <c r="L645" s="10" t="n">
        <v>0</v>
      </c>
      <c r="M645" s="10" t="n">
        <v>479000</v>
      </c>
      <c r="N645" s="10" t="n">
        <v>0</v>
      </c>
      <c r="O645" s="10" t="n">
        <v>0</v>
      </c>
      <c r="P645" s="10" t="n">
        <v>0</v>
      </c>
      <c r="Q645" s="10" t="n">
        <v>479000</v>
      </c>
      <c r="R645" s="10" t="n">
        <v>0</v>
      </c>
      <c r="S645" s="10" t="n">
        <v>0</v>
      </c>
      <c r="T645" s="7"/>
      <c r="U645" s="7"/>
      <c r="V645" s="7"/>
      <c r="W645" s="7" t="s">
        <v>43</v>
      </c>
      <c r="X645" s="7"/>
      <c r="Y645" s="7" t="s">
        <v>37</v>
      </c>
      <c r="Z645" s="7" t="s">
        <v>2342</v>
      </c>
      <c r="AA645" s="7"/>
      <c r="AB645" s="10" t="n">
        <v>479000</v>
      </c>
      <c r="AC645" s="10" t="n">
        <v>1</v>
      </c>
    </row>
    <row r="646" customFormat="false" ht="15.75" hidden="true" customHeight="true" outlineLevel="0" collapsed="false">
      <c r="A646" s="6"/>
      <c r="B646" s="7" t="s">
        <v>1873</v>
      </c>
      <c r="C646" s="7" t="s">
        <v>65</v>
      </c>
      <c r="D646" s="7" t="s">
        <v>87</v>
      </c>
      <c r="E646" s="7" t="s">
        <v>2343</v>
      </c>
      <c r="F646" s="8" t="s">
        <v>2344</v>
      </c>
      <c r="G646" s="9" t="n">
        <f aca="false">DATE(2000+VALUE(MID(F646,7,2)),VALUE(MID(F646,4,2)),VALUE(LEFT(F646,2)))</f>
        <v>45549</v>
      </c>
      <c r="H646" s="8" t="s">
        <v>2345</v>
      </c>
      <c r="I646" s="9" t="n">
        <f aca="false">DATE(2000+VALUE(MID(H646,7,2)),VALUE(MID(H646,4,2)),VALUE(LEFT(H646,2)))</f>
        <v>45553</v>
      </c>
      <c r="J646" s="9"/>
      <c r="K646" s="10" t="n">
        <v>2066000</v>
      </c>
      <c r="L646" s="10" t="n">
        <v>0</v>
      </c>
      <c r="M646" s="10" t="n">
        <v>2066000</v>
      </c>
      <c r="N646" s="10" t="n">
        <v>0</v>
      </c>
      <c r="O646" s="10" t="n">
        <v>0</v>
      </c>
      <c r="P646" s="10" t="n">
        <v>0</v>
      </c>
      <c r="Q646" s="10" t="n">
        <v>2066000</v>
      </c>
      <c r="R646" s="10" t="n">
        <v>0</v>
      </c>
      <c r="S646" s="10" t="n">
        <v>0</v>
      </c>
      <c r="T646" s="7"/>
      <c r="U646" s="7"/>
      <c r="V646" s="7"/>
      <c r="W646" s="7" t="s">
        <v>43</v>
      </c>
      <c r="X646" s="7"/>
      <c r="Y646" s="7" t="s">
        <v>37</v>
      </c>
      <c r="Z646" s="7" t="s">
        <v>2346</v>
      </c>
      <c r="AA646" s="7" t="s">
        <v>2347</v>
      </c>
      <c r="AB646" s="10" t="n">
        <v>516500</v>
      </c>
      <c r="AC646" s="10" t="n">
        <v>4</v>
      </c>
    </row>
    <row r="647" customFormat="false" ht="15.75" hidden="true" customHeight="true" outlineLevel="0" collapsed="false">
      <c r="A647" s="6"/>
      <c r="B647" s="7" t="s">
        <v>1923</v>
      </c>
      <c r="C647" s="7" t="s">
        <v>65</v>
      </c>
      <c r="D647" s="7" t="s">
        <v>82</v>
      </c>
      <c r="E647" s="7" t="s">
        <v>2348</v>
      </c>
      <c r="F647" s="8" t="s">
        <v>2349</v>
      </c>
      <c r="G647" s="9" t="n">
        <f aca="false">DATE(2000+VALUE(MID(F647,7,2)),VALUE(MID(F647,4,2)),VALUE(LEFT(F647,2)))</f>
        <v>45553</v>
      </c>
      <c r="H647" s="8" t="s">
        <v>2350</v>
      </c>
      <c r="I647" s="9" t="n">
        <f aca="false">DATE(2000+VALUE(MID(H647,7,2)),VALUE(MID(H647,4,2)),VALUE(LEFT(H647,2)))</f>
        <v>45554</v>
      </c>
      <c r="J647" s="9"/>
      <c r="K647" s="10" t="n">
        <v>493850</v>
      </c>
      <c r="L647" s="10" t="n">
        <v>0</v>
      </c>
      <c r="M647" s="10" t="n">
        <v>493850</v>
      </c>
      <c r="N647" s="10" t="n">
        <v>0</v>
      </c>
      <c r="O647" s="10" t="n">
        <v>0</v>
      </c>
      <c r="P647" s="10" t="n">
        <v>0</v>
      </c>
      <c r="Q647" s="10" t="n">
        <v>0</v>
      </c>
      <c r="R647" s="10" t="n">
        <v>493850</v>
      </c>
      <c r="S647" s="10" t="n">
        <v>0</v>
      </c>
      <c r="T647" s="7"/>
      <c r="U647" s="7"/>
      <c r="V647" s="7"/>
      <c r="W647" s="7" t="s">
        <v>49</v>
      </c>
      <c r="X647" s="7"/>
      <c r="Y647" s="7" t="s">
        <v>37</v>
      </c>
      <c r="Z647" s="7" t="s">
        <v>2351</v>
      </c>
      <c r="AA647" s="7" t="s">
        <v>2352</v>
      </c>
      <c r="AB647" s="10" t="n">
        <v>493850</v>
      </c>
      <c r="AC647" s="10" t="n">
        <v>1</v>
      </c>
    </row>
    <row r="648" customFormat="false" ht="15.75" hidden="true" customHeight="true" outlineLevel="0" collapsed="false">
      <c r="A648" s="6"/>
      <c r="B648" s="7" t="s">
        <v>2007</v>
      </c>
      <c r="C648" s="7" t="s">
        <v>65</v>
      </c>
      <c r="D648" s="7" t="s">
        <v>66</v>
      </c>
      <c r="E648" s="7" t="s">
        <v>1389</v>
      </c>
      <c r="F648" s="8" t="s">
        <v>2353</v>
      </c>
      <c r="G648" s="9" t="n">
        <f aca="false">DATE(2000+VALUE(MID(F648,7,2)),VALUE(MID(F648,4,2)),VALUE(LEFT(F648,2)))</f>
        <v>45553</v>
      </c>
      <c r="H648" s="8" t="s">
        <v>2354</v>
      </c>
      <c r="I648" s="9" t="n">
        <f aca="false">DATE(2000+VALUE(MID(H648,7,2)),VALUE(MID(H648,4,2)),VALUE(LEFT(H648,2)))</f>
        <v>45554</v>
      </c>
      <c r="J648" s="9"/>
      <c r="K648" s="10" t="n">
        <v>455000</v>
      </c>
      <c r="L648" s="10" t="n">
        <v>0</v>
      </c>
      <c r="M648" s="10" t="n">
        <v>455000</v>
      </c>
      <c r="N648" s="10" t="n">
        <v>0</v>
      </c>
      <c r="O648" s="10" t="n">
        <v>0</v>
      </c>
      <c r="P648" s="10" t="n">
        <v>0</v>
      </c>
      <c r="Q648" s="10" t="n">
        <v>455000</v>
      </c>
      <c r="R648" s="10" t="n">
        <v>0</v>
      </c>
      <c r="S648" s="10" t="n">
        <v>0</v>
      </c>
      <c r="T648" s="7"/>
      <c r="U648" s="7"/>
      <c r="V648" s="7"/>
      <c r="W648" s="7" t="s">
        <v>43</v>
      </c>
      <c r="X648" s="7"/>
      <c r="Y648" s="7" t="s">
        <v>37</v>
      </c>
      <c r="Z648" s="7" t="s">
        <v>2355</v>
      </c>
      <c r="AA648" s="7"/>
      <c r="AB648" s="10" t="n">
        <v>455000</v>
      </c>
      <c r="AC648" s="10" t="n">
        <v>1</v>
      </c>
    </row>
    <row r="649" customFormat="false" ht="15.75" hidden="true" customHeight="true" outlineLevel="0" collapsed="false">
      <c r="A649" s="6"/>
      <c r="B649" s="7" t="s">
        <v>1967</v>
      </c>
      <c r="C649" s="7" t="s">
        <v>60</v>
      </c>
      <c r="D649" s="7" t="s">
        <v>164</v>
      </c>
      <c r="E649" s="7" t="s">
        <v>2356</v>
      </c>
      <c r="F649" s="8" t="s">
        <v>2357</v>
      </c>
      <c r="G649" s="9" t="n">
        <f aca="false">DATE(2000+VALUE(MID(F649,7,2)),VALUE(MID(F649,4,2)),VALUE(LEFT(F649,2)))</f>
        <v>45554</v>
      </c>
      <c r="H649" s="8" t="s">
        <v>2358</v>
      </c>
      <c r="I649" s="9" t="n">
        <f aca="false">DATE(2000+VALUE(MID(H649,7,2)),VALUE(MID(H649,4,2)),VALUE(LEFT(H649,2)))</f>
        <v>45554</v>
      </c>
      <c r="J649" s="9"/>
      <c r="K649" s="10" t="n">
        <v>350000</v>
      </c>
      <c r="L649" s="10" t="n">
        <v>0</v>
      </c>
      <c r="M649" s="10" t="n">
        <v>350000</v>
      </c>
      <c r="N649" s="10" t="n">
        <v>0</v>
      </c>
      <c r="O649" s="10" t="n">
        <v>0</v>
      </c>
      <c r="P649" s="10" t="n">
        <v>0</v>
      </c>
      <c r="Q649" s="10" t="n">
        <v>350000</v>
      </c>
      <c r="R649" s="10" t="n">
        <v>0</v>
      </c>
      <c r="S649" s="10" t="n">
        <v>0</v>
      </c>
      <c r="T649" s="7"/>
      <c r="U649" s="7"/>
      <c r="V649" s="7"/>
      <c r="W649" s="7" t="s">
        <v>43</v>
      </c>
      <c r="X649" s="7"/>
      <c r="Y649" s="7" t="s">
        <v>37</v>
      </c>
      <c r="Z649" s="7" t="s">
        <v>2359</v>
      </c>
      <c r="AA649" s="7"/>
      <c r="AB649" s="10" t="n">
        <v>350000</v>
      </c>
      <c r="AC649" s="10" t="n">
        <v>1</v>
      </c>
    </row>
    <row r="650" customFormat="false" ht="15.75" hidden="true" customHeight="true" outlineLevel="0" collapsed="false">
      <c r="A650" s="6"/>
      <c r="B650" s="7" t="s">
        <v>1913</v>
      </c>
      <c r="C650" s="7" t="s">
        <v>60</v>
      </c>
      <c r="D650" s="7" t="s">
        <v>116</v>
      </c>
      <c r="E650" s="7" t="s">
        <v>2360</v>
      </c>
      <c r="F650" s="8" t="s">
        <v>2361</v>
      </c>
      <c r="G650" s="9" t="n">
        <f aca="false">DATE(2000+VALUE(MID(F650,7,2)),VALUE(MID(F650,4,2)),VALUE(LEFT(F650,2)))</f>
        <v>45554</v>
      </c>
      <c r="H650" s="8" t="s">
        <v>2362</v>
      </c>
      <c r="I650" s="9" t="n">
        <f aca="false">DATE(2000+VALUE(MID(H650,7,2)),VALUE(MID(H650,4,2)),VALUE(LEFT(H650,2)))</f>
        <v>45555</v>
      </c>
      <c r="J650" s="9"/>
      <c r="K650" s="10" t="n">
        <v>539000</v>
      </c>
      <c r="L650" s="10" t="n">
        <v>0</v>
      </c>
      <c r="M650" s="10" t="n">
        <v>539000</v>
      </c>
      <c r="N650" s="10" t="n">
        <v>0</v>
      </c>
      <c r="O650" s="10" t="n">
        <v>0</v>
      </c>
      <c r="P650" s="10" t="n">
        <v>0</v>
      </c>
      <c r="Q650" s="10" t="n">
        <v>539000</v>
      </c>
      <c r="R650" s="10" t="n">
        <v>0</v>
      </c>
      <c r="S650" s="10" t="n">
        <v>0</v>
      </c>
      <c r="T650" s="7"/>
      <c r="U650" s="7"/>
      <c r="V650" s="7"/>
      <c r="W650" s="7" t="s">
        <v>43</v>
      </c>
      <c r="X650" s="7"/>
      <c r="Y650" s="7" t="s">
        <v>37</v>
      </c>
      <c r="Z650" s="7" t="s">
        <v>2363</v>
      </c>
      <c r="AA650" s="7"/>
      <c r="AB650" s="10" t="n">
        <v>539000</v>
      </c>
      <c r="AC650" s="10" t="n">
        <v>1</v>
      </c>
    </row>
    <row r="651" customFormat="false" ht="15.75" hidden="true" customHeight="true" outlineLevel="0" collapsed="false">
      <c r="A651" s="6"/>
      <c r="B651" s="7" t="s">
        <v>1981</v>
      </c>
      <c r="C651" s="7" t="s">
        <v>31</v>
      </c>
      <c r="D651" s="7" t="s">
        <v>361</v>
      </c>
      <c r="E651" s="7" t="s">
        <v>2364</v>
      </c>
      <c r="F651" s="8" t="s">
        <v>2365</v>
      </c>
      <c r="G651" s="9" t="n">
        <f aca="false">DATE(2000+VALUE(MID(F651,7,2)),VALUE(MID(F651,4,2)),VALUE(LEFT(F651,2)))</f>
        <v>45553</v>
      </c>
      <c r="H651" s="8" t="s">
        <v>2366</v>
      </c>
      <c r="I651" s="9" t="n">
        <f aca="false">DATE(2000+VALUE(MID(H651,7,2)),VALUE(MID(H651,4,2)),VALUE(LEFT(H651,2)))</f>
        <v>45555</v>
      </c>
      <c r="J651" s="9"/>
      <c r="K651" s="10" t="n">
        <v>0</v>
      </c>
      <c r="L651" s="10" t="n">
        <v>0</v>
      </c>
      <c r="M651" s="10" t="n">
        <v>0</v>
      </c>
      <c r="N651" s="10" t="n">
        <v>0</v>
      </c>
      <c r="O651" s="10" t="n">
        <v>0</v>
      </c>
      <c r="P651" s="10" t="n">
        <v>0</v>
      </c>
      <c r="Q651" s="10" t="n">
        <v>0</v>
      </c>
      <c r="R651" s="10" t="n">
        <v>0</v>
      </c>
      <c r="S651" s="10" t="n">
        <v>0</v>
      </c>
      <c r="T651" s="7"/>
      <c r="U651" s="7"/>
      <c r="V651" s="7"/>
      <c r="W651" s="7" t="s">
        <v>36</v>
      </c>
      <c r="X651" s="7"/>
      <c r="Y651" s="7" t="s">
        <v>37</v>
      </c>
      <c r="Z651" s="7" t="s">
        <v>2367</v>
      </c>
      <c r="AA651" s="7"/>
      <c r="AB651" s="10" t="n">
        <v>0</v>
      </c>
      <c r="AC651" s="10" t="n">
        <v>2</v>
      </c>
    </row>
    <row r="652" customFormat="false" ht="15.75" hidden="true" customHeight="true" outlineLevel="0" collapsed="false">
      <c r="A652" s="6"/>
      <c r="B652" s="7" t="s">
        <v>1972</v>
      </c>
      <c r="C652" s="7" t="s">
        <v>65</v>
      </c>
      <c r="D652" s="7" t="s">
        <v>66</v>
      </c>
      <c r="E652" s="7" t="s">
        <v>2368</v>
      </c>
      <c r="F652" s="8" t="s">
        <v>2369</v>
      </c>
      <c r="G652" s="9" t="n">
        <f aca="false">DATE(2000+VALUE(MID(F652,7,2)),VALUE(MID(F652,4,2)),VALUE(LEFT(F652,2)))</f>
        <v>45554</v>
      </c>
      <c r="H652" s="8" t="s">
        <v>2370</v>
      </c>
      <c r="I652" s="9" t="n">
        <f aca="false">DATE(2000+VALUE(MID(H652,7,2)),VALUE(MID(H652,4,2)),VALUE(LEFT(H652,2)))</f>
        <v>45555</v>
      </c>
      <c r="J652" s="9"/>
      <c r="K652" s="10" t="n">
        <v>500000</v>
      </c>
      <c r="L652" s="10" t="n">
        <v>0</v>
      </c>
      <c r="M652" s="10" t="n">
        <v>500000</v>
      </c>
      <c r="N652" s="10" t="n">
        <v>0</v>
      </c>
      <c r="O652" s="10" t="n">
        <v>0</v>
      </c>
      <c r="P652" s="10" t="n">
        <v>0</v>
      </c>
      <c r="Q652" s="10" t="n">
        <v>500000</v>
      </c>
      <c r="R652" s="10" t="n">
        <v>0</v>
      </c>
      <c r="S652" s="10" t="n">
        <v>0</v>
      </c>
      <c r="T652" s="7"/>
      <c r="U652" s="7"/>
      <c r="V652" s="7"/>
      <c r="W652" s="7" t="s">
        <v>43</v>
      </c>
      <c r="X652" s="7"/>
      <c r="Y652" s="7" t="s">
        <v>37</v>
      </c>
      <c r="Z652" s="7" t="s">
        <v>2371</v>
      </c>
      <c r="AA652" s="7"/>
      <c r="AB652" s="10" t="n">
        <v>500000</v>
      </c>
      <c r="AC652" s="10" t="n">
        <v>1</v>
      </c>
    </row>
    <row r="653" customFormat="false" ht="15.75" hidden="true" customHeight="true" outlineLevel="0" collapsed="false">
      <c r="A653" s="6"/>
      <c r="B653" s="7" t="s">
        <v>2372</v>
      </c>
      <c r="C653" s="7" t="s">
        <v>65</v>
      </c>
      <c r="D653" s="7" t="s">
        <v>96</v>
      </c>
      <c r="E653" s="7" t="s">
        <v>2373</v>
      </c>
      <c r="F653" s="8" t="s">
        <v>2374</v>
      </c>
      <c r="G653" s="9" t="n">
        <f aca="false">DATE(2000+VALUE(MID(F653,7,2)),VALUE(MID(F653,4,2)),VALUE(LEFT(F653,2)))</f>
        <v>45553</v>
      </c>
      <c r="H653" s="8" t="s">
        <v>2375</v>
      </c>
      <c r="I653" s="9" t="n">
        <f aca="false">DATE(2000+VALUE(MID(H653,7,2)),VALUE(MID(H653,4,2)),VALUE(LEFT(H653,2)))</f>
        <v>45555</v>
      </c>
      <c r="J653" s="9"/>
      <c r="K653" s="10" t="n">
        <v>899200</v>
      </c>
      <c r="L653" s="10" t="n">
        <v>0</v>
      </c>
      <c r="M653" s="10" t="n">
        <v>899200</v>
      </c>
      <c r="N653" s="10" t="n">
        <v>0</v>
      </c>
      <c r="O653" s="10" t="n">
        <v>0</v>
      </c>
      <c r="P653" s="10" t="n">
        <v>0</v>
      </c>
      <c r="Q653" s="10" t="n">
        <v>899200</v>
      </c>
      <c r="R653" s="10" t="n">
        <v>0</v>
      </c>
      <c r="S653" s="10" t="n">
        <v>0</v>
      </c>
      <c r="T653" s="7"/>
      <c r="U653" s="7"/>
      <c r="V653" s="7"/>
      <c r="W653" s="7" t="s">
        <v>43</v>
      </c>
      <c r="X653" s="7"/>
      <c r="Y653" s="7" t="s">
        <v>37</v>
      </c>
      <c r="Z653" s="7" t="s">
        <v>2376</v>
      </c>
      <c r="AA653" s="7"/>
      <c r="AB653" s="10" t="n">
        <v>449600</v>
      </c>
      <c r="AC653" s="10" t="n">
        <v>2</v>
      </c>
    </row>
    <row r="654" customFormat="false" ht="15.75" hidden="true" customHeight="true" outlineLevel="0" collapsed="false">
      <c r="A654" s="6"/>
      <c r="B654" s="7" t="s">
        <v>1985</v>
      </c>
      <c r="C654" s="7" t="s">
        <v>71</v>
      </c>
      <c r="D654" s="7" t="s">
        <v>92</v>
      </c>
      <c r="E654" s="7" t="s">
        <v>2377</v>
      </c>
      <c r="F654" s="8" t="s">
        <v>2378</v>
      </c>
      <c r="G654" s="9" t="n">
        <f aca="false">DATE(2000+VALUE(MID(F654,7,2)),VALUE(MID(F654,4,2)),VALUE(LEFT(F654,2)))</f>
        <v>45555</v>
      </c>
      <c r="H654" s="8" t="s">
        <v>2379</v>
      </c>
      <c r="I654" s="9" t="n">
        <f aca="false">DATE(2000+VALUE(MID(H654,7,2)),VALUE(MID(H654,4,2)),VALUE(LEFT(H654,2)))</f>
        <v>45555</v>
      </c>
      <c r="J654" s="9"/>
      <c r="K654" s="10" t="n">
        <v>560000</v>
      </c>
      <c r="L654" s="10" t="n">
        <v>0</v>
      </c>
      <c r="M654" s="10" t="n">
        <v>560000</v>
      </c>
      <c r="N654" s="10" t="n">
        <v>0</v>
      </c>
      <c r="O654" s="10" t="n">
        <v>0</v>
      </c>
      <c r="P654" s="10" t="n">
        <v>0</v>
      </c>
      <c r="Q654" s="10" t="n">
        <v>560000</v>
      </c>
      <c r="R654" s="10" t="n">
        <v>0</v>
      </c>
      <c r="S654" s="10" t="n">
        <v>0</v>
      </c>
      <c r="T654" s="7"/>
      <c r="U654" s="7"/>
      <c r="V654" s="7"/>
      <c r="W654" s="7" t="s">
        <v>43</v>
      </c>
      <c r="X654" s="7"/>
      <c r="Y654" s="7" t="s">
        <v>37</v>
      </c>
      <c r="Z654" s="7" t="s">
        <v>2380</v>
      </c>
      <c r="AA654" s="7"/>
      <c r="AB654" s="10" t="n">
        <v>560000</v>
      </c>
      <c r="AC654" s="10" t="n">
        <v>1</v>
      </c>
    </row>
    <row r="655" customFormat="false" ht="15.75" hidden="true" customHeight="true" outlineLevel="0" collapsed="false">
      <c r="A655" s="6"/>
      <c r="B655" s="7" t="s">
        <v>2026</v>
      </c>
      <c r="C655" s="7" t="s">
        <v>60</v>
      </c>
      <c r="D655" s="7" t="s">
        <v>164</v>
      </c>
      <c r="E655" s="7" t="s">
        <v>2381</v>
      </c>
      <c r="F655" s="8" t="s">
        <v>2382</v>
      </c>
      <c r="G655" s="9" t="n">
        <f aca="false">DATE(2000+VALUE(MID(F655,7,2)),VALUE(MID(F655,4,2)),VALUE(LEFT(F655,2)))</f>
        <v>45555</v>
      </c>
      <c r="H655" s="8" t="s">
        <v>2383</v>
      </c>
      <c r="I655" s="9" t="n">
        <f aca="false">DATE(2000+VALUE(MID(H655,7,2)),VALUE(MID(H655,4,2)),VALUE(LEFT(H655,2)))</f>
        <v>45556</v>
      </c>
      <c r="J655" s="9"/>
      <c r="K655" s="10" t="n">
        <v>579786</v>
      </c>
      <c r="L655" s="10" t="n">
        <v>0</v>
      </c>
      <c r="M655" s="10" t="n">
        <v>579786</v>
      </c>
      <c r="N655" s="10" t="n">
        <v>0</v>
      </c>
      <c r="O655" s="10" t="n">
        <v>0</v>
      </c>
      <c r="P655" s="10" t="n">
        <v>0</v>
      </c>
      <c r="Q655" s="10" t="n">
        <v>0</v>
      </c>
      <c r="R655" s="10" t="n">
        <v>579786</v>
      </c>
      <c r="S655" s="10" t="n">
        <v>0</v>
      </c>
      <c r="T655" s="7"/>
      <c r="U655" s="7"/>
      <c r="V655" s="7"/>
      <c r="W655" s="7" t="s">
        <v>49</v>
      </c>
      <c r="X655" s="7"/>
      <c r="Y655" s="7" t="s">
        <v>37</v>
      </c>
      <c r="Z655" s="7" t="s">
        <v>2384</v>
      </c>
      <c r="AA655" s="7" t="s">
        <v>2385</v>
      </c>
      <c r="AB655" s="10" t="n">
        <v>579786</v>
      </c>
      <c r="AC655" s="10" t="n">
        <v>1</v>
      </c>
    </row>
    <row r="656" customFormat="false" ht="15.75" hidden="true" customHeight="true" outlineLevel="0" collapsed="false">
      <c r="A656" s="6"/>
      <c r="B656" s="7" t="s">
        <v>2013</v>
      </c>
      <c r="C656" s="7" t="s">
        <v>71</v>
      </c>
      <c r="D656" s="7" t="s">
        <v>72</v>
      </c>
      <c r="E656" s="7" t="s">
        <v>2386</v>
      </c>
      <c r="F656" s="8" t="s">
        <v>2387</v>
      </c>
      <c r="G656" s="9" t="n">
        <f aca="false">DATE(2000+VALUE(MID(F656,7,2)),VALUE(MID(F656,4,2)),VALUE(LEFT(F656,2)))</f>
        <v>45553</v>
      </c>
      <c r="H656" s="8" t="s">
        <v>2388</v>
      </c>
      <c r="I656" s="9" t="n">
        <f aca="false">DATE(2000+VALUE(MID(H656,7,2)),VALUE(MID(H656,4,2)),VALUE(LEFT(H656,2)))</f>
        <v>45556</v>
      </c>
      <c r="J656" s="9"/>
      <c r="K656" s="10" t="n">
        <v>1267227</v>
      </c>
      <c r="L656" s="10" t="n">
        <v>0</v>
      </c>
      <c r="M656" s="10" t="n">
        <v>1267227</v>
      </c>
      <c r="N656" s="10" t="n">
        <v>0</v>
      </c>
      <c r="O656" s="10" t="n">
        <v>0</v>
      </c>
      <c r="P656" s="10" t="n">
        <v>0</v>
      </c>
      <c r="Q656" s="10" t="n">
        <v>0</v>
      </c>
      <c r="R656" s="10" t="n">
        <v>1267227</v>
      </c>
      <c r="S656" s="10" t="n">
        <v>0</v>
      </c>
      <c r="T656" s="7"/>
      <c r="U656" s="7"/>
      <c r="V656" s="7"/>
      <c r="W656" s="7" t="s">
        <v>49</v>
      </c>
      <c r="X656" s="7"/>
      <c r="Y656" s="7" t="s">
        <v>37</v>
      </c>
      <c r="Z656" s="7" t="s">
        <v>2389</v>
      </c>
      <c r="AA656" s="7" t="s">
        <v>2390</v>
      </c>
      <c r="AB656" s="10" t="n">
        <v>422409</v>
      </c>
      <c r="AC656" s="10" t="n">
        <v>3</v>
      </c>
    </row>
    <row r="657" customFormat="false" ht="15.75" hidden="true" customHeight="true" outlineLevel="0" collapsed="false">
      <c r="A657" s="6"/>
      <c r="B657" s="7" t="s">
        <v>1998</v>
      </c>
      <c r="C657" s="7" t="s">
        <v>65</v>
      </c>
      <c r="D657" s="7" t="s">
        <v>76</v>
      </c>
      <c r="E657" s="7" t="s">
        <v>2391</v>
      </c>
      <c r="F657" s="8" t="s">
        <v>2387</v>
      </c>
      <c r="G657" s="9" t="n">
        <f aca="false">DATE(2000+VALUE(MID(F657,7,2)),VALUE(MID(F657,4,2)),VALUE(LEFT(F657,2)))</f>
        <v>45553</v>
      </c>
      <c r="H657" s="8" t="s">
        <v>2388</v>
      </c>
      <c r="I657" s="9" t="n">
        <f aca="false">DATE(2000+VALUE(MID(H657,7,2)),VALUE(MID(H657,4,2)),VALUE(LEFT(H657,2)))</f>
        <v>45556</v>
      </c>
      <c r="J657" s="9"/>
      <c r="K657" s="10" t="n">
        <v>1267227</v>
      </c>
      <c r="L657" s="10" t="n">
        <v>0</v>
      </c>
      <c r="M657" s="10" t="n">
        <v>1267227</v>
      </c>
      <c r="N657" s="10" t="n">
        <v>0</v>
      </c>
      <c r="O657" s="10" t="n">
        <v>0</v>
      </c>
      <c r="P657" s="10" t="n">
        <v>0</v>
      </c>
      <c r="Q657" s="10" t="n">
        <v>0</v>
      </c>
      <c r="R657" s="10" t="n">
        <v>1267227</v>
      </c>
      <c r="S657" s="10" t="n">
        <v>0</v>
      </c>
      <c r="T657" s="7"/>
      <c r="U657" s="7"/>
      <c r="V657" s="7"/>
      <c r="W657" s="7" t="s">
        <v>49</v>
      </c>
      <c r="X657" s="7"/>
      <c r="Y657" s="7" t="s">
        <v>37</v>
      </c>
      <c r="Z657" s="7" t="s">
        <v>2392</v>
      </c>
      <c r="AA657" s="7" t="s">
        <v>2393</v>
      </c>
      <c r="AB657" s="10" t="n">
        <v>422409</v>
      </c>
      <c r="AC657" s="10" t="n">
        <v>3</v>
      </c>
    </row>
    <row r="658" customFormat="false" ht="15.75" hidden="true" customHeight="true" outlineLevel="0" collapsed="false">
      <c r="A658" s="6"/>
      <c r="B658" s="7" t="s">
        <v>1953</v>
      </c>
      <c r="C658" s="7" t="s">
        <v>31</v>
      </c>
      <c r="D658" s="7" t="s">
        <v>337</v>
      </c>
      <c r="E658" s="7" t="s">
        <v>1512</v>
      </c>
      <c r="F658" s="8" t="s">
        <v>2394</v>
      </c>
      <c r="G658" s="9" t="n">
        <f aca="false">DATE(2000+VALUE(MID(F658,7,2)),VALUE(MID(F658,4,2)),VALUE(LEFT(F658,2)))</f>
        <v>45554</v>
      </c>
      <c r="H658" s="8" t="s">
        <v>2388</v>
      </c>
      <c r="I658" s="9" t="n">
        <f aca="false">DATE(2000+VALUE(MID(H658,7,2)),VALUE(MID(H658,4,2)),VALUE(LEFT(H658,2)))</f>
        <v>45556</v>
      </c>
      <c r="J658" s="9"/>
      <c r="K658" s="10" t="n">
        <v>1360000</v>
      </c>
      <c r="L658" s="10" t="n">
        <v>0</v>
      </c>
      <c r="M658" s="10" t="n">
        <v>1360000</v>
      </c>
      <c r="N658" s="10" t="n">
        <v>0</v>
      </c>
      <c r="O658" s="10" t="n">
        <v>720000</v>
      </c>
      <c r="P658" s="10" t="n">
        <v>0</v>
      </c>
      <c r="Q658" s="10" t="n">
        <v>640000</v>
      </c>
      <c r="R658" s="10" t="n">
        <v>0</v>
      </c>
      <c r="S658" s="10" t="n">
        <v>0</v>
      </c>
      <c r="T658" s="7"/>
      <c r="U658" s="7"/>
      <c r="V658" s="7"/>
      <c r="W658" s="7" t="s">
        <v>43</v>
      </c>
      <c r="X658" s="7"/>
      <c r="Y658" s="7" t="s">
        <v>37</v>
      </c>
      <c r="Z658" s="7" t="s">
        <v>2395</v>
      </c>
      <c r="AA658" s="7"/>
      <c r="AB658" s="10" t="n">
        <v>680000</v>
      </c>
      <c r="AC658" s="10" t="n">
        <v>2</v>
      </c>
    </row>
    <row r="659" customFormat="false" ht="15.75" hidden="true" customHeight="true" outlineLevel="0" collapsed="false">
      <c r="A659" s="6"/>
      <c r="B659" s="7" t="s">
        <v>1953</v>
      </c>
      <c r="C659" s="7" t="s">
        <v>60</v>
      </c>
      <c r="D659" s="7" t="s">
        <v>173</v>
      </c>
      <c r="E659" s="7" t="s">
        <v>202</v>
      </c>
      <c r="F659" s="8" t="s">
        <v>2394</v>
      </c>
      <c r="G659" s="9" t="n">
        <f aca="false">DATE(2000+VALUE(MID(F659,7,2)),VALUE(MID(F659,4,2)),VALUE(LEFT(F659,2)))</f>
        <v>45554</v>
      </c>
      <c r="H659" s="8" t="s">
        <v>2388</v>
      </c>
      <c r="I659" s="9" t="n">
        <f aca="false">DATE(2000+VALUE(MID(H659,7,2)),VALUE(MID(H659,4,2)),VALUE(LEFT(H659,2)))</f>
        <v>45556</v>
      </c>
      <c r="J659" s="9"/>
      <c r="K659" s="10" t="n">
        <v>1100000</v>
      </c>
      <c r="L659" s="10" t="n">
        <v>0</v>
      </c>
      <c r="M659" s="10" t="n">
        <v>1100000</v>
      </c>
      <c r="N659" s="10" t="n">
        <v>0</v>
      </c>
      <c r="O659" s="10" t="n">
        <v>600000</v>
      </c>
      <c r="P659" s="10" t="n">
        <v>0</v>
      </c>
      <c r="Q659" s="10" t="n">
        <v>500000</v>
      </c>
      <c r="R659" s="10" t="n">
        <v>0</v>
      </c>
      <c r="S659" s="10" t="n">
        <v>0</v>
      </c>
      <c r="T659" s="7"/>
      <c r="U659" s="7"/>
      <c r="V659" s="7"/>
      <c r="W659" s="7" t="s">
        <v>43</v>
      </c>
      <c r="X659" s="7"/>
      <c r="Y659" s="7" t="s">
        <v>37</v>
      </c>
      <c r="Z659" s="7" t="s">
        <v>2396</v>
      </c>
      <c r="AA659" s="7"/>
      <c r="AB659" s="10" t="n">
        <v>550000</v>
      </c>
      <c r="AC659" s="10" t="n">
        <v>2</v>
      </c>
    </row>
    <row r="660" customFormat="false" ht="15.75" hidden="true" customHeight="true" outlineLevel="0" collapsed="false">
      <c r="A660" s="6"/>
      <c r="B660" s="7" t="s">
        <v>2397</v>
      </c>
      <c r="C660" s="7" t="s">
        <v>71</v>
      </c>
      <c r="D660" s="7" t="s">
        <v>92</v>
      </c>
      <c r="E660" s="7" t="s">
        <v>2398</v>
      </c>
      <c r="F660" s="8" t="s">
        <v>2399</v>
      </c>
      <c r="G660" s="9" t="n">
        <f aca="false">DATE(2000+VALUE(MID(F660,7,2)),VALUE(MID(F660,4,2)),VALUE(LEFT(F660,2)))</f>
        <v>45556</v>
      </c>
      <c r="H660" s="8" t="s">
        <v>2400</v>
      </c>
      <c r="I660" s="9" t="n">
        <f aca="false">DATE(2000+VALUE(MID(H660,7,2)),VALUE(MID(H660,4,2)),VALUE(LEFT(H660,2)))</f>
        <v>45556</v>
      </c>
      <c r="J660" s="9"/>
      <c r="K660" s="10" t="n">
        <v>299000</v>
      </c>
      <c r="L660" s="10" t="n">
        <v>0</v>
      </c>
      <c r="M660" s="10" t="n">
        <v>299000</v>
      </c>
      <c r="N660" s="10" t="n">
        <v>0</v>
      </c>
      <c r="O660" s="10" t="n">
        <v>0</v>
      </c>
      <c r="P660" s="10" t="n">
        <v>0</v>
      </c>
      <c r="Q660" s="10" t="n">
        <v>299000</v>
      </c>
      <c r="R660" s="10" t="n">
        <v>0</v>
      </c>
      <c r="S660" s="10" t="n">
        <v>0</v>
      </c>
      <c r="T660" s="7"/>
      <c r="U660" s="7"/>
      <c r="V660" s="7"/>
      <c r="W660" s="7" t="s">
        <v>43</v>
      </c>
      <c r="X660" s="7"/>
      <c r="Y660" s="7" t="s">
        <v>37</v>
      </c>
      <c r="Z660" s="7" t="s">
        <v>2401</v>
      </c>
      <c r="AA660" s="7"/>
      <c r="AB660" s="10" t="n">
        <v>299000</v>
      </c>
      <c r="AC660" s="10" t="n">
        <v>1</v>
      </c>
    </row>
    <row r="661" customFormat="false" ht="15.75" hidden="true" customHeight="true" outlineLevel="0" collapsed="false">
      <c r="A661" s="6"/>
      <c r="B661" s="7" t="s">
        <v>1880</v>
      </c>
      <c r="C661" s="7" t="s">
        <v>65</v>
      </c>
      <c r="D661" s="7" t="s">
        <v>66</v>
      </c>
      <c r="E661" s="7" t="s">
        <v>2402</v>
      </c>
      <c r="F661" s="8" t="s">
        <v>2403</v>
      </c>
      <c r="G661" s="9" t="n">
        <f aca="false">DATE(2000+VALUE(MID(F661,7,2)),VALUE(MID(F661,4,2)),VALUE(LEFT(F661,2)))</f>
        <v>45556</v>
      </c>
      <c r="H661" s="8" t="s">
        <v>2404</v>
      </c>
      <c r="I661" s="9" t="n">
        <f aca="false">DATE(2000+VALUE(MID(H661,7,2)),VALUE(MID(H661,4,2)),VALUE(LEFT(H661,2)))</f>
        <v>45557</v>
      </c>
      <c r="J661" s="9"/>
      <c r="K661" s="10" t="n">
        <v>534000</v>
      </c>
      <c r="L661" s="10" t="n">
        <v>0</v>
      </c>
      <c r="M661" s="10" t="n">
        <v>534000</v>
      </c>
      <c r="N661" s="10" t="n">
        <v>0</v>
      </c>
      <c r="O661" s="10" t="n">
        <v>0</v>
      </c>
      <c r="P661" s="10" t="n">
        <v>0</v>
      </c>
      <c r="Q661" s="10" t="n">
        <v>534000</v>
      </c>
      <c r="R661" s="10" t="n">
        <v>0</v>
      </c>
      <c r="S661" s="10" t="n">
        <v>0</v>
      </c>
      <c r="T661" s="7"/>
      <c r="U661" s="7"/>
      <c r="V661" s="7"/>
      <c r="W661" s="7" t="s">
        <v>43</v>
      </c>
      <c r="X661" s="7"/>
      <c r="Y661" s="7" t="s">
        <v>37</v>
      </c>
      <c r="Z661" s="7" t="s">
        <v>2405</v>
      </c>
      <c r="AA661" s="7"/>
      <c r="AB661" s="10" t="n">
        <v>534000</v>
      </c>
      <c r="AC661" s="10" t="n">
        <v>1</v>
      </c>
    </row>
    <row r="662" customFormat="false" ht="15.75" hidden="true" customHeight="true" outlineLevel="0" collapsed="false">
      <c r="A662" s="6"/>
      <c r="B662" s="7" t="s">
        <v>1943</v>
      </c>
      <c r="C662" s="7" t="s">
        <v>65</v>
      </c>
      <c r="D662" s="7" t="s">
        <v>82</v>
      </c>
      <c r="E662" s="7" t="s">
        <v>2406</v>
      </c>
      <c r="F662" s="8" t="s">
        <v>2407</v>
      </c>
      <c r="G662" s="9" t="n">
        <f aca="false">DATE(2000+VALUE(MID(F662,7,2)),VALUE(MID(F662,4,2)),VALUE(LEFT(F662,2)))</f>
        <v>45556</v>
      </c>
      <c r="H662" s="8" t="s">
        <v>2404</v>
      </c>
      <c r="I662" s="9" t="n">
        <f aca="false">DATE(2000+VALUE(MID(H662,7,2)),VALUE(MID(H662,4,2)),VALUE(LEFT(H662,2)))</f>
        <v>45557</v>
      </c>
      <c r="J662" s="9"/>
      <c r="K662" s="10" t="n">
        <v>525528</v>
      </c>
      <c r="L662" s="10" t="n">
        <v>0</v>
      </c>
      <c r="M662" s="10" t="n">
        <v>525528</v>
      </c>
      <c r="N662" s="10" t="n">
        <v>0</v>
      </c>
      <c r="O662" s="10" t="n">
        <v>0</v>
      </c>
      <c r="P662" s="10" t="n">
        <v>0</v>
      </c>
      <c r="Q662" s="10" t="n">
        <v>0</v>
      </c>
      <c r="R662" s="10" t="n">
        <v>525528</v>
      </c>
      <c r="S662" s="10" t="n">
        <v>0</v>
      </c>
      <c r="T662" s="7"/>
      <c r="U662" s="7"/>
      <c r="V662" s="7"/>
      <c r="W662" s="7" t="s">
        <v>49</v>
      </c>
      <c r="X662" s="7"/>
      <c r="Y662" s="7" t="s">
        <v>37</v>
      </c>
      <c r="Z662" s="7" t="s">
        <v>2408</v>
      </c>
      <c r="AA662" s="7" t="s">
        <v>2409</v>
      </c>
      <c r="AB662" s="10" t="n">
        <v>525528</v>
      </c>
      <c r="AC662" s="10" t="n">
        <v>1</v>
      </c>
    </row>
    <row r="663" customFormat="false" ht="15.75" hidden="true" customHeight="true" outlineLevel="0" collapsed="false">
      <c r="A663" s="6"/>
      <c r="B663" s="7" t="s">
        <v>1992</v>
      </c>
      <c r="C663" s="7" t="s">
        <v>31</v>
      </c>
      <c r="D663" s="7" t="s">
        <v>45</v>
      </c>
      <c r="E663" s="7" t="s">
        <v>202</v>
      </c>
      <c r="F663" s="8" t="s">
        <v>2410</v>
      </c>
      <c r="G663" s="9" t="n">
        <f aca="false">DATE(2000+VALUE(MID(F663,7,2)),VALUE(MID(F663,4,2)),VALUE(LEFT(F663,2)))</f>
        <v>45555</v>
      </c>
      <c r="H663" s="8" t="s">
        <v>2404</v>
      </c>
      <c r="I663" s="9" t="n">
        <f aca="false">DATE(2000+VALUE(MID(H663,7,2)),VALUE(MID(H663,4,2)),VALUE(LEFT(H663,2)))</f>
        <v>45557</v>
      </c>
      <c r="J663" s="9"/>
      <c r="K663" s="10" t="n">
        <v>1450000</v>
      </c>
      <c r="L663" s="10" t="n">
        <v>0</v>
      </c>
      <c r="M663" s="10" t="n">
        <v>1450000</v>
      </c>
      <c r="N663" s="10" t="n">
        <v>0</v>
      </c>
      <c r="O663" s="10" t="n">
        <v>0</v>
      </c>
      <c r="P663" s="10" t="n">
        <v>0</v>
      </c>
      <c r="Q663" s="10" t="n">
        <v>1450000</v>
      </c>
      <c r="R663" s="10" t="n">
        <v>0</v>
      </c>
      <c r="S663" s="10" t="n">
        <v>0</v>
      </c>
      <c r="T663" s="7"/>
      <c r="U663" s="7"/>
      <c r="V663" s="7"/>
      <c r="W663" s="7" t="s">
        <v>43</v>
      </c>
      <c r="X663" s="7"/>
      <c r="Y663" s="7" t="s">
        <v>37</v>
      </c>
      <c r="Z663" s="7" t="s">
        <v>2411</v>
      </c>
      <c r="AA663" s="7"/>
      <c r="AB663" s="10" t="n">
        <v>725000</v>
      </c>
      <c r="AC663" s="10" t="n">
        <v>2</v>
      </c>
    </row>
    <row r="664" customFormat="false" ht="15.75" hidden="true" customHeight="true" outlineLevel="0" collapsed="false">
      <c r="A664" s="6"/>
      <c r="B664" s="7" t="s">
        <v>1992</v>
      </c>
      <c r="C664" s="7" t="s">
        <v>60</v>
      </c>
      <c r="D664" s="7" t="s">
        <v>116</v>
      </c>
      <c r="E664" s="7" t="s">
        <v>2412</v>
      </c>
      <c r="F664" s="8" t="s">
        <v>2410</v>
      </c>
      <c r="G664" s="9" t="n">
        <f aca="false">DATE(2000+VALUE(MID(F664,7,2)),VALUE(MID(F664,4,2)),VALUE(LEFT(F664,2)))</f>
        <v>45555</v>
      </c>
      <c r="H664" s="8" t="s">
        <v>2404</v>
      </c>
      <c r="I664" s="9" t="n">
        <f aca="false">DATE(2000+VALUE(MID(H664,7,2)),VALUE(MID(H664,4,2)),VALUE(LEFT(H664,2)))</f>
        <v>45557</v>
      </c>
      <c r="J664" s="9"/>
      <c r="K664" s="10" t="n">
        <v>1200000</v>
      </c>
      <c r="L664" s="10" t="n">
        <v>0</v>
      </c>
      <c r="M664" s="10" t="n">
        <v>1200000</v>
      </c>
      <c r="N664" s="10" t="n">
        <v>0</v>
      </c>
      <c r="O664" s="10" t="n">
        <v>0</v>
      </c>
      <c r="P664" s="10" t="n">
        <v>0</v>
      </c>
      <c r="Q664" s="10" t="n">
        <v>1200000</v>
      </c>
      <c r="R664" s="10" t="n">
        <v>0</v>
      </c>
      <c r="S664" s="10" t="n">
        <v>0</v>
      </c>
      <c r="T664" s="7"/>
      <c r="U664" s="7"/>
      <c r="V664" s="7"/>
      <c r="W664" s="7" t="s">
        <v>43</v>
      </c>
      <c r="X664" s="7"/>
      <c r="Y664" s="7" t="s">
        <v>37</v>
      </c>
      <c r="Z664" s="7" t="s">
        <v>2413</v>
      </c>
      <c r="AA664" s="7"/>
      <c r="AB664" s="10" t="n">
        <v>600000</v>
      </c>
      <c r="AC664" s="10" t="n">
        <v>2</v>
      </c>
    </row>
    <row r="665" customFormat="false" ht="15.75" hidden="true" customHeight="true" outlineLevel="0" collapsed="false">
      <c r="A665" s="6"/>
      <c r="B665" s="7" t="s">
        <v>1964</v>
      </c>
      <c r="C665" s="7" t="s">
        <v>60</v>
      </c>
      <c r="D665" s="7" t="s">
        <v>61</v>
      </c>
      <c r="E665" s="7" t="s">
        <v>2414</v>
      </c>
      <c r="F665" s="8" t="s">
        <v>2403</v>
      </c>
      <c r="G665" s="9" t="n">
        <f aca="false">DATE(2000+VALUE(MID(F665,7,2)),VALUE(MID(F665,4,2)),VALUE(LEFT(F665,2)))</f>
        <v>45556</v>
      </c>
      <c r="H665" s="8" t="s">
        <v>2404</v>
      </c>
      <c r="I665" s="9" t="n">
        <f aca="false">DATE(2000+VALUE(MID(H665,7,2)),VALUE(MID(H665,4,2)),VALUE(LEFT(H665,2)))</f>
        <v>45557</v>
      </c>
      <c r="J665" s="9"/>
      <c r="K665" s="10" t="n">
        <v>600000</v>
      </c>
      <c r="L665" s="10" t="n">
        <v>0</v>
      </c>
      <c r="M665" s="10" t="n">
        <v>600000</v>
      </c>
      <c r="N665" s="10" t="n">
        <v>0</v>
      </c>
      <c r="O665" s="10" t="n">
        <v>0</v>
      </c>
      <c r="P665" s="10" t="n">
        <v>0</v>
      </c>
      <c r="Q665" s="10" t="n">
        <v>600000</v>
      </c>
      <c r="R665" s="10" t="n">
        <v>0</v>
      </c>
      <c r="S665" s="10" t="n">
        <v>0</v>
      </c>
      <c r="T665" s="7"/>
      <c r="U665" s="7"/>
      <c r="V665" s="7"/>
      <c r="W665" s="7" t="s">
        <v>43</v>
      </c>
      <c r="X665" s="7"/>
      <c r="Y665" s="7" t="s">
        <v>37</v>
      </c>
      <c r="Z665" s="7" t="s">
        <v>2415</v>
      </c>
      <c r="AA665" s="7"/>
      <c r="AB665" s="10" t="n">
        <v>600000</v>
      </c>
      <c r="AC665" s="10" t="n">
        <v>1</v>
      </c>
    </row>
    <row r="666" customFormat="false" ht="15.75" hidden="true" customHeight="true" outlineLevel="0" collapsed="false">
      <c r="A666" s="6"/>
      <c r="B666" s="7" t="s">
        <v>2169</v>
      </c>
      <c r="C666" s="7" t="s">
        <v>31</v>
      </c>
      <c r="D666" s="7" t="s">
        <v>105</v>
      </c>
      <c r="E666" s="7" t="s">
        <v>2416</v>
      </c>
      <c r="F666" s="8" t="s">
        <v>2417</v>
      </c>
      <c r="G666" s="9" t="n">
        <f aca="false">DATE(2000+VALUE(MID(F666,7,2)),VALUE(MID(F666,4,2)),VALUE(LEFT(F666,2)))</f>
        <v>45556</v>
      </c>
      <c r="H666" s="8" t="s">
        <v>2418</v>
      </c>
      <c r="I666" s="9" t="n">
        <f aca="false">DATE(2000+VALUE(MID(H666,7,2)),VALUE(MID(H666,4,2)),VALUE(LEFT(H666,2)))</f>
        <v>45557</v>
      </c>
      <c r="J666" s="9"/>
      <c r="K666" s="10" t="n">
        <v>618809</v>
      </c>
      <c r="L666" s="10" t="n">
        <v>0</v>
      </c>
      <c r="M666" s="10" t="n">
        <v>618809</v>
      </c>
      <c r="N666" s="10" t="n">
        <v>0</v>
      </c>
      <c r="O666" s="10" t="n">
        <v>0</v>
      </c>
      <c r="P666" s="10" t="n">
        <v>0</v>
      </c>
      <c r="Q666" s="10" t="n">
        <v>0</v>
      </c>
      <c r="R666" s="10" t="n">
        <v>618809</v>
      </c>
      <c r="S666" s="10" t="n">
        <v>0</v>
      </c>
      <c r="T666" s="7"/>
      <c r="U666" s="7"/>
      <c r="V666" s="7"/>
      <c r="W666" s="7" t="s">
        <v>49</v>
      </c>
      <c r="X666" s="7"/>
      <c r="Y666" s="7" t="s">
        <v>37</v>
      </c>
      <c r="Z666" s="7" t="s">
        <v>2419</v>
      </c>
      <c r="AA666" s="7" t="s">
        <v>2420</v>
      </c>
      <c r="AB666" s="10" t="n">
        <v>618809</v>
      </c>
      <c r="AC666" s="10" t="n">
        <v>1</v>
      </c>
    </row>
    <row r="667" customFormat="false" ht="15.75" hidden="true" customHeight="true" outlineLevel="0" collapsed="false">
      <c r="A667" s="6"/>
      <c r="B667" s="7" t="s">
        <v>2011</v>
      </c>
      <c r="C667" s="7" t="s">
        <v>31</v>
      </c>
      <c r="D667" s="7" t="s">
        <v>361</v>
      </c>
      <c r="E667" s="7" t="s">
        <v>2421</v>
      </c>
      <c r="F667" s="8" t="s">
        <v>2403</v>
      </c>
      <c r="G667" s="9" t="n">
        <f aca="false">DATE(2000+VALUE(MID(F667,7,2)),VALUE(MID(F667,4,2)),VALUE(LEFT(F667,2)))</f>
        <v>45556</v>
      </c>
      <c r="H667" s="8" t="s">
        <v>2422</v>
      </c>
      <c r="I667" s="9" t="n">
        <f aca="false">DATE(2000+VALUE(MID(H667,7,2)),VALUE(MID(H667,4,2)),VALUE(LEFT(H667,2)))</f>
        <v>45557</v>
      </c>
      <c r="J667" s="9"/>
      <c r="K667" s="10" t="n">
        <v>728280</v>
      </c>
      <c r="L667" s="10" t="n">
        <v>0</v>
      </c>
      <c r="M667" s="10" t="n">
        <v>728280</v>
      </c>
      <c r="N667" s="10" t="n">
        <v>0</v>
      </c>
      <c r="O667" s="10" t="n">
        <v>0</v>
      </c>
      <c r="P667" s="10" t="n">
        <v>0</v>
      </c>
      <c r="Q667" s="10" t="n">
        <v>0</v>
      </c>
      <c r="R667" s="10" t="n">
        <v>728280</v>
      </c>
      <c r="S667" s="10" t="n">
        <v>0</v>
      </c>
      <c r="T667" s="7"/>
      <c r="U667" s="7"/>
      <c r="V667" s="7"/>
      <c r="W667" s="7" t="s">
        <v>49</v>
      </c>
      <c r="X667" s="7"/>
      <c r="Y667" s="7" t="s">
        <v>37</v>
      </c>
      <c r="Z667" s="7" t="s">
        <v>2423</v>
      </c>
      <c r="AA667" s="7" t="s">
        <v>2424</v>
      </c>
      <c r="AB667" s="10" t="n">
        <v>728280</v>
      </c>
      <c r="AC667" s="10" t="n">
        <v>1</v>
      </c>
    </row>
    <row r="668" customFormat="false" ht="15.75" hidden="true" customHeight="true" outlineLevel="0" collapsed="false">
      <c r="A668" s="6"/>
      <c r="B668" s="7" t="s">
        <v>2074</v>
      </c>
      <c r="C668" s="7" t="s">
        <v>65</v>
      </c>
      <c r="D668" s="7" t="s">
        <v>82</v>
      </c>
      <c r="E668" s="7" t="s">
        <v>2425</v>
      </c>
      <c r="F668" s="8" t="s">
        <v>2426</v>
      </c>
      <c r="G668" s="9" t="n">
        <f aca="false">DATE(2000+VALUE(MID(F668,7,2)),VALUE(MID(F668,4,2)),VALUE(LEFT(F668,2)))</f>
        <v>45557</v>
      </c>
      <c r="H668" s="8" t="s">
        <v>2427</v>
      </c>
      <c r="I668" s="9" t="n">
        <f aca="false">DATE(2000+VALUE(MID(H668,7,2)),VALUE(MID(H668,4,2)),VALUE(LEFT(H668,2)))</f>
        <v>45557</v>
      </c>
      <c r="J668" s="9"/>
      <c r="K668" s="10" t="n">
        <v>350000</v>
      </c>
      <c r="L668" s="10" t="n">
        <v>0</v>
      </c>
      <c r="M668" s="10" t="n">
        <v>350000</v>
      </c>
      <c r="N668" s="10" t="n">
        <v>0</v>
      </c>
      <c r="O668" s="10" t="n">
        <v>0</v>
      </c>
      <c r="P668" s="10" t="n">
        <v>0</v>
      </c>
      <c r="Q668" s="10" t="n">
        <v>350000</v>
      </c>
      <c r="R668" s="10" t="n">
        <v>0</v>
      </c>
      <c r="S668" s="10" t="n">
        <v>0</v>
      </c>
      <c r="T668" s="7"/>
      <c r="U668" s="7"/>
      <c r="V668" s="7"/>
      <c r="W668" s="7" t="s">
        <v>43</v>
      </c>
      <c r="X668" s="7"/>
      <c r="Y668" s="7" t="s">
        <v>37</v>
      </c>
      <c r="Z668" s="7" t="s">
        <v>2428</v>
      </c>
      <c r="AA668" s="7"/>
      <c r="AB668" s="10" t="n">
        <v>350000</v>
      </c>
      <c r="AC668" s="10" t="n">
        <v>1</v>
      </c>
    </row>
    <row r="669" customFormat="false" ht="15.75" hidden="true" customHeight="true" outlineLevel="0" collapsed="false">
      <c r="A669" s="6"/>
      <c r="B669" s="7" t="s">
        <v>2017</v>
      </c>
      <c r="C669" s="7" t="s">
        <v>60</v>
      </c>
      <c r="D669" s="7" t="s">
        <v>164</v>
      </c>
      <c r="E669" s="7" t="s">
        <v>2429</v>
      </c>
      <c r="F669" s="8" t="s">
        <v>2430</v>
      </c>
      <c r="G669" s="9" t="n">
        <f aca="false">DATE(2000+VALUE(MID(F669,7,2)),VALUE(MID(F669,4,2)),VALUE(LEFT(F669,2)))</f>
        <v>45556</v>
      </c>
      <c r="H669" s="8" t="s">
        <v>2431</v>
      </c>
      <c r="I669" s="9" t="n">
        <f aca="false">DATE(2000+VALUE(MID(H669,7,2)),VALUE(MID(H669,4,2)),VALUE(LEFT(H669,2)))</f>
        <v>45558</v>
      </c>
      <c r="J669" s="9"/>
      <c r="K669" s="10" t="n">
        <v>1135000</v>
      </c>
      <c r="L669" s="10" t="n">
        <v>0</v>
      </c>
      <c r="M669" s="10" t="n">
        <v>1135000</v>
      </c>
      <c r="N669" s="10" t="n">
        <v>0</v>
      </c>
      <c r="O669" s="10" t="n">
        <v>0</v>
      </c>
      <c r="P669" s="10" t="n">
        <v>0</v>
      </c>
      <c r="Q669" s="10" t="n">
        <v>1135000</v>
      </c>
      <c r="R669" s="10" t="n">
        <v>0</v>
      </c>
      <c r="S669" s="10" t="n">
        <v>0</v>
      </c>
      <c r="T669" s="7"/>
      <c r="U669" s="7"/>
      <c r="V669" s="7"/>
      <c r="W669" s="7" t="s">
        <v>43</v>
      </c>
      <c r="X669" s="7"/>
      <c r="Y669" s="7" t="s">
        <v>37</v>
      </c>
      <c r="Z669" s="7" t="s">
        <v>2432</v>
      </c>
      <c r="AA669" s="7"/>
      <c r="AB669" s="10" t="n">
        <v>567500</v>
      </c>
      <c r="AC669" s="10" t="n">
        <v>2</v>
      </c>
    </row>
    <row r="670" customFormat="false" ht="15.75" hidden="true" customHeight="true" outlineLevel="0" collapsed="false">
      <c r="A670" s="6"/>
      <c r="B670" s="7" t="s">
        <v>2051</v>
      </c>
      <c r="C670" s="7" t="s">
        <v>31</v>
      </c>
      <c r="D670" s="7" t="s">
        <v>337</v>
      </c>
      <c r="E670" s="7" t="s">
        <v>2433</v>
      </c>
      <c r="F670" s="8" t="s">
        <v>2434</v>
      </c>
      <c r="G670" s="9" t="n">
        <f aca="false">DATE(2000+VALUE(MID(F670,7,2)),VALUE(MID(F670,4,2)),VALUE(LEFT(F670,2)))</f>
        <v>45557</v>
      </c>
      <c r="H670" s="8" t="s">
        <v>2435</v>
      </c>
      <c r="I670" s="9" t="n">
        <f aca="false">DATE(2000+VALUE(MID(H670,7,2)),VALUE(MID(H670,4,2)),VALUE(LEFT(H670,2)))</f>
        <v>45558</v>
      </c>
      <c r="J670" s="9"/>
      <c r="K670" s="10" t="n">
        <v>1041264</v>
      </c>
      <c r="L670" s="10" t="n">
        <v>0</v>
      </c>
      <c r="M670" s="10" t="n">
        <v>1041264</v>
      </c>
      <c r="N670" s="10" t="n">
        <v>0</v>
      </c>
      <c r="O670" s="10" t="n">
        <v>0</v>
      </c>
      <c r="P670" s="10" t="n">
        <v>0</v>
      </c>
      <c r="Q670" s="10" t="n">
        <v>0</v>
      </c>
      <c r="R670" s="10" t="n">
        <v>1041264</v>
      </c>
      <c r="S670" s="10" t="n">
        <v>0</v>
      </c>
      <c r="T670" s="7"/>
      <c r="U670" s="7"/>
      <c r="V670" s="7"/>
      <c r="W670" s="7" t="s">
        <v>49</v>
      </c>
      <c r="X670" s="7"/>
      <c r="Y670" s="7" t="s">
        <v>37</v>
      </c>
      <c r="Z670" s="7" t="s">
        <v>2436</v>
      </c>
      <c r="AA670" s="7" t="s">
        <v>2437</v>
      </c>
      <c r="AB670" s="10" t="n">
        <v>1041264</v>
      </c>
      <c r="AC670" s="10" t="n">
        <v>1</v>
      </c>
    </row>
    <row r="671" customFormat="false" ht="15.75" hidden="true" customHeight="true" outlineLevel="0" collapsed="false">
      <c r="A671" s="6"/>
      <c r="B671" s="7" t="s">
        <v>1977</v>
      </c>
      <c r="C671" s="7" t="s">
        <v>31</v>
      </c>
      <c r="D671" s="7" t="s">
        <v>39</v>
      </c>
      <c r="E671" s="7" t="s">
        <v>2438</v>
      </c>
      <c r="F671" s="8" t="s">
        <v>2439</v>
      </c>
      <c r="G671" s="9" t="n">
        <f aca="false">DATE(2000+VALUE(MID(F671,7,2)),VALUE(MID(F671,4,2)),VALUE(LEFT(F671,2)))</f>
        <v>45554</v>
      </c>
      <c r="H671" s="8" t="s">
        <v>2440</v>
      </c>
      <c r="I671" s="9" t="n">
        <f aca="false">DATE(2000+VALUE(MID(H671,7,2)),VALUE(MID(H671,4,2)),VALUE(LEFT(H671,2)))</f>
        <v>45558</v>
      </c>
      <c r="J671" s="9"/>
      <c r="K671" s="10" t="n">
        <v>3275122</v>
      </c>
      <c r="L671" s="10" t="n">
        <v>0</v>
      </c>
      <c r="M671" s="10" t="n">
        <v>3275122</v>
      </c>
      <c r="N671" s="10" t="n">
        <v>0</v>
      </c>
      <c r="O671" s="10" t="n">
        <v>0</v>
      </c>
      <c r="P671" s="10" t="n">
        <v>0</v>
      </c>
      <c r="Q671" s="10" t="n">
        <v>0</v>
      </c>
      <c r="R671" s="10" t="n">
        <v>3275122</v>
      </c>
      <c r="S671" s="10" t="n">
        <v>0</v>
      </c>
      <c r="T671" s="7"/>
      <c r="U671" s="7"/>
      <c r="V671" s="7"/>
      <c r="W671" s="7" t="s">
        <v>49</v>
      </c>
      <c r="X671" s="7"/>
      <c r="Y671" s="7" t="s">
        <v>37</v>
      </c>
      <c r="Z671" s="7" t="s">
        <v>2441</v>
      </c>
      <c r="AA671" s="7" t="s">
        <v>2442</v>
      </c>
      <c r="AB671" s="10" t="n">
        <v>818780.5</v>
      </c>
      <c r="AC671" s="10" t="n">
        <v>4</v>
      </c>
    </row>
    <row r="672" customFormat="false" ht="15.75" hidden="true" customHeight="true" outlineLevel="0" collapsed="false">
      <c r="A672" s="6"/>
      <c r="B672" s="7" t="s">
        <v>2021</v>
      </c>
      <c r="C672" s="7" t="s">
        <v>60</v>
      </c>
      <c r="D672" s="7" t="s">
        <v>173</v>
      </c>
      <c r="E672" s="7" t="s">
        <v>202</v>
      </c>
      <c r="F672" s="8" t="s">
        <v>2403</v>
      </c>
      <c r="G672" s="9" t="n">
        <f aca="false">DATE(2000+VALUE(MID(F672,7,2)),VALUE(MID(F672,4,2)),VALUE(LEFT(F672,2)))</f>
        <v>45556</v>
      </c>
      <c r="H672" s="8" t="s">
        <v>2440</v>
      </c>
      <c r="I672" s="9" t="n">
        <f aca="false">DATE(2000+VALUE(MID(H672,7,2)),VALUE(MID(H672,4,2)),VALUE(LEFT(H672,2)))</f>
        <v>45558</v>
      </c>
      <c r="J672" s="9"/>
      <c r="K672" s="10" t="n">
        <v>1130000</v>
      </c>
      <c r="L672" s="10" t="n">
        <v>240000</v>
      </c>
      <c r="M672" s="10" t="n">
        <v>1370000</v>
      </c>
      <c r="N672" s="10" t="n">
        <v>0</v>
      </c>
      <c r="O672" s="10" t="n">
        <v>1370000</v>
      </c>
      <c r="P672" s="10" t="n">
        <v>0</v>
      </c>
      <c r="Q672" s="10" t="n">
        <v>0</v>
      </c>
      <c r="R672" s="10" t="n">
        <v>0</v>
      </c>
      <c r="S672" s="10" t="n">
        <v>0</v>
      </c>
      <c r="T672" s="7"/>
      <c r="U672" s="7"/>
      <c r="V672" s="7"/>
      <c r="W672" s="7" t="s">
        <v>43</v>
      </c>
      <c r="X672" s="7"/>
      <c r="Y672" s="7" t="s">
        <v>37</v>
      </c>
      <c r="Z672" s="7" t="s">
        <v>2443</v>
      </c>
      <c r="AA672" s="7"/>
      <c r="AB672" s="10" t="n">
        <v>565000</v>
      </c>
      <c r="AC672" s="10" t="n">
        <v>2</v>
      </c>
    </row>
    <row r="673" customFormat="false" ht="15.75" hidden="true" customHeight="true" outlineLevel="0" collapsed="false">
      <c r="A673" s="6"/>
      <c r="B673" s="7" t="s">
        <v>2021</v>
      </c>
      <c r="C673" s="7" t="s">
        <v>71</v>
      </c>
      <c r="D673" s="7" t="s">
        <v>72</v>
      </c>
      <c r="E673" s="7" t="s">
        <v>2386</v>
      </c>
      <c r="F673" s="8" t="s">
        <v>2403</v>
      </c>
      <c r="G673" s="9" t="n">
        <f aca="false">DATE(2000+VALUE(MID(F673,7,2)),VALUE(MID(F673,4,2)),VALUE(LEFT(F673,2)))</f>
        <v>45556</v>
      </c>
      <c r="H673" s="8" t="s">
        <v>2440</v>
      </c>
      <c r="I673" s="9" t="n">
        <f aca="false">DATE(2000+VALUE(MID(H673,7,2)),VALUE(MID(H673,4,2)),VALUE(LEFT(H673,2)))</f>
        <v>45558</v>
      </c>
      <c r="J673" s="9"/>
      <c r="K673" s="10" t="n">
        <v>1220000</v>
      </c>
      <c r="L673" s="10" t="n">
        <v>0</v>
      </c>
      <c r="M673" s="10" t="n">
        <v>1220000</v>
      </c>
      <c r="N673" s="10" t="n">
        <v>0</v>
      </c>
      <c r="O673" s="10" t="n">
        <v>1220000</v>
      </c>
      <c r="P673" s="10" t="n">
        <v>0</v>
      </c>
      <c r="Q673" s="10" t="n">
        <v>0</v>
      </c>
      <c r="R673" s="10" t="n">
        <v>0</v>
      </c>
      <c r="S673" s="10" t="n">
        <v>0</v>
      </c>
      <c r="T673" s="7"/>
      <c r="U673" s="7"/>
      <c r="V673" s="7"/>
      <c r="W673" s="7" t="s">
        <v>43</v>
      </c>
      <c r="X673" s="7"/>
      <c r="Y673" s="7" t="s">
        <v>37</v>
      </c>
      <c r="Z673" s="7" t="s">
        <v>2444</v>
      </c>
      <c r="AA673" s="7"/>
      <c r="AB673" s="10" t="n">
        <v>610000</v>
      </c>
      <c r="AC673" s="10" t="n">
        <v>2</v>
      </c>
    </row>
    <row r="674" customFormat="false" ht="15.75" hidden="true" customHeight="true" outlineLevel="0" collapsed="false">
      <c r="A674" s="6"/>
      <c r="B674" s="7" t="s">
        <v>1876</v>
      </c>
      <c r="C674" s="7" t="s">
        <v>65</v>
      </c>
      <c r="D674" s="7" t="s">
        <v>156</v>
      </c>
      <c r="E674" s="7" t="s">
        <v>2445</v>
      </c>
      <c r="F674" s="8" t="s">
        <v>2446</v>
      </c>
      <c r="G674" s="9" t="n">
        <f aca="false">DATE(2000+VALUE(MID(F674,7,2)),VALUE(MID(F674,4,2)),VALUE(LEFT(F674,2)))</f>
        <v>45555</v>
      </c>
      <c r="H674" s="8" t="s">
        <v>2447</v>
      </c>
      <c r="I674" s="9" t="n">
        <f aca="false">DATE(2000+VALUE(MID(H674,7,2)),VALUE(MID(H674,4,2)),VALUE(LEFT(H674,2)))</f>
        <v>45559</v>
      </c>
      <c r="J674" s="9"/>
      <c r="K674" s="10" t="n">
        <v>2629440</v>
      </c>
      <c r="L674" s="10" t="n">
        <v>0</v>
      </c>
      <c r="M674" s="10" t="n">
        <v>2629440</v>
      </c>
      <c r="N674" s="10" t="n">
        <v>0</v>
      </c>
      <c r="O674" s="10" t="n">
        <v>0</v>
      </c>
      <c r="P674" s="10" t="n">
        <v>0</v>
      </c>
      <c r="Q674" s="10" t="n">
        <v>0</v>
      </c>
      <c r="R674" s="10" t="n">
        <v>2629440</v>
      </c>
      <c r="S674" s="10" t="n">
        <v>0</v>
      </c>
      <c r="T674" s="7"/>
      <c r="U674" s="7"/>
      <c r="V674" s="7"/>
      <c r="W674" s="7" t="s">
        <v>49</v>
      </c>
      <c r="X674" s="7"/>
      <c r="Y674" s="7" t="s">
        <v>37</v>
      </c>
      <c r="Z674" s="7" t="s">
        <v>2448</v>
      </c>
      <c r="AA674" s="7" t="s">
        <v>2449</v>
      </c>
      <c r="AB674" s="10" t="n">
        <v>657360</v>
      </c>
      <c r="AC674" s="10" t="n">
        <v>4</v>
      </c>
    </row>
    <row r="675" customFormat="false" ht="15.75" hidden="true" customHeight="true" outlineLevel="0" collapsed="false">
      <c r="A675" s="6"/>
      <c r="B675" s="7" t="s">
        <v>1876</v>
      </c>
      <c r="C675" s="7" t="s">
        <v>65</v>
      </c>
      <c r="D675" s="7" t="s">
        <v>96</v>
      </c>
      <c r="E675" s="7" t="s">
        <v>2450</v>
      </c>
      <c r="F675" s="8" t="s">
        <v>2446</v>
      </c>
      <c r="G675" s="9" t="n">
        <f aca="false">DATE(2000+VALUE(MID(F675,7,2)),VALUE(MID(F675,4,2)),VALUE(LEFT(F675,2)))</f>
        <v>45555</v>
      </c>
      <c r="H675" s="8" t="s">
        <v>2447</v>
      </c>
      <c r="I675" s="9" t="n">
        <f aca="false">DATE(2000+VALUE(MID(H675,7,2)),VALUE(MID(H675,4,2)),VALUE(LEFT(H675,2)))</f>
        <v>45559</v>
      </c>
      <c r="J675" s="9"/>
      <c r="K675" s="10" t="n">
        <v>2629440</v>
      </c>
      <c r="L675" s="10" t="n">
        <v>0</v>
      </c>
      <c r="M675" s="10" t="n">
        <v>2629440</v>
      </c>
      <c r="N675" s="10" t="n">
        <v>0</v>
      </c>
      <c r="O675" s="10" t="n">
        <v>0</v>
      </c>
      <c r="P675" s="10" t="n">
        <v>0</v>
      </c>
      <c r="Q675" s="10" t="n">
        <v>0</v>
      </c>
      <c r="R675" s="10" t="n">
        <v>2629440</v>
      </c>
      <c r="S675" s="10" t="n">
        <v>0</v>
      </c>
      <c r="T675" s="7"/>
      <c r="U675" s="7"/>
      <c r="V675" s="7"/>
      <c r="W675" s="7" t="s">
        <v>49</v>
      </c>
      <c r="X675" s="7"/>
      <c r="Y675" s="7" t="s">
        <v>37</v>
      </c>
      <c r="Z675" s="7" t="s">
        <v>2451</v>
      </c>
      <c r="AA675" s="7" t="s">
        <v>2449</v>
      </c>
      <c r="AB675" s="10" t="n">
        <v>657360</v>
      </c>
      <c r="AC675" s="10" t="n">
        <v>4</v>
      </c>
    </row>
    <row r="676" customFormat="false" ht="15.75" hidden="true" customHeight="true" outlineLevel="0" collapsed="false">
      <c r="A676" s="6"/>
      <c r="B676" s="7" t="s">
        <v>2043</v>
      </c>
      <c r="C676" s="7" t="s">
        <v>65</v>
      </c>
      <c r="D676" s="7" t="s">
        <v>87</v>
      </c>
      <c r="E676" s="7" t="s">
        <v>2452</v>
      </c>
      <c r="F676" s="8" t="s">
        <v>2453</v>
      </c>
      <c r="G676" s="9" t="n">
        <f aca="false">DATE(2000+VALUE(MID(F676,7,2)),VALUE(MID(F676,4,2)),VALUE(LEFT(F676,2)))</f>
        <v>45558</v>
      </c>
      <c r="H676" s="8" t="s">
        <v>2447</v>
      </c>
      <c r="I676" s="9" t="n">
        <f aca="false">DATE(2000+VALUE(MID(H676,7,2)),VALUE(MID(H676,4,2)),VALUE(LEFT(H676,2)))</f>
        <v>45559</v>
      </c>
      <c r="J676" s="9"/>
      <c r="K676" s="10" t="n">
        <v>493920</v>
      </c>
      <c r="L676" s="10" t="n">
        <v>0</v>
      </c>
      <c r="M676" s="10" t="n">
        <v>493920</v>
      </c>
      <c r="N676" s="10" t="n">
        <v>0</v>
      </c>
      <c r="O676" s="10" t="n">
        <v>0</v>
      </c>
      <c r="P676" s="10" t="n">
        <v>0</v>
      </c>
      <c r="Q676" s="10" t="n">
        <v>0</v>
      </c>
      <c r="R676" s="10" t="n">
        <v>493920</v>
      </c>
      <c r="S676" s="10" t="n">
        <v>0</v>
      </c>
      <c r="T676" s="7"/>
      <c r="U676" s="7"/>
      <c r="V676" s="7"/>
      <c r="W676" s="7" t="s">
        <v>49</v>
      </c>
      <c r="X676" s="7"/>
      <c r="Y676" s="7" t="s">
        <v>37</v>
      </c>
      <c r="Z676" s="7" t="s">
        <v>2454</v>
      </c>
      <c r="AA676" s="7" t="s">
        <v>2455</v>
      </c>
      <c r="AB676" s="10" t="n">
        <v>493920</v>
      </c>
      <c r="AC676" s="10" t="n">
        <v>1</v>
      </c>
    </row>
    <row r="677" customFormat="false" ht="15.75" hidden="true" customHeight="true" outlineLevel="0" collapsed="false">
      <c r="A677" s="6"/>
      <c r="B677" s="7" t="s">
        <v>2030</v>
      </c>
      <c r="C677" s="7" t="s">
        <v>60</v>
      </c>
      <c r="D677" s="7" t="s">
        <v>61</v>
      </c>
      <c r="E677" s="7" t="s">
        <v>2456</v>
      </c>
      <c r="F677" s="8" t="s">
        <v>2457</v>
      </c>
      <c r="G677" s="9" t="n">
        <f aca="false">DATE(2000+VALUE(MID(F677,7,2)),VALUE(MID(F677,4,2)),VALUE(LEFT(F677,2)))</f>
        <v>45557</v>
      </c>
      <c r="H677" s="8" t="s">
        <v>2458</v>
      </c>
      <c r="I677" s="9" t="n">
        <f aca="false">DATE(2000+VALUE(MID(H677,7,2)),VALUE(MID(H677,4,2)),VALUE(LEFT(H677,2)))</f>
        <v>45559</v>
      </c>
      <c r="J677" s="9"/>
      <c r="K677" s="10" t="n">
        <v>1178000</v>
      </c>
      <c r="L677" s="10" t="n">
        <v>0</v>
      </c>
      <c r="M677" s="10" t="n">
        <v>1178000</v>
      </c>
      <c r="N677" s="10" t="n">
        <v>0</v>
      </c>
      <c r="O677" s="10" t="n">
        <v>0</v>
      </c>
      <c r="P677" s="10" t="n">
        <v>0</v>
      </c>
      <c r="Q677" s="10" t="n">
        <v>1178000</v>
      </c>
      <c r="R677" s="10" t="n">
        <v>0</v>
      </c>
      <c r="S677" s="10" t="n">
        <v>0</v>
      </c>
      <c r="T677" s="7"/>
      <c r="U677" s="7"/>
      <c r="V677" s="7"/>
      <c r="W677" s="7" t="s">
        <v>43</v>
      </c>
      <c r="X677" s="7"/>
      <c r="Y677" s="7" t="s">
        <v>37</v>
      </c>
      <c r="Z677" s="7" t="s">
        <v>2459</v>
      </c>
      <c r="AA677" s="7"/>
      <c r="AB677" s="10" t="n">
        <v>589000</v>
      </c>
      <c r="AC677" s="10" t="n">
        <v>2</v>
      </c>
    </row>
    <row r="678" customFormat="false" ht="15.75" hidden="true" customHeight="true" outlineLevel="0" collapsed="false">
      <c r="A678" s="6"/>
      <c r="B678" s="7" t="s">
        <v>1956</v>
      </c>
      <c r="C678" s="7" t="s">
        <v>65</v>
      </c>
      <c r="D678" s="7" t="s">
        <v>76</v>
      </c>
      <c r="E678" s="7" t="s">
        <v>2460</v>
      </c>
      <c r="F678" s="8" t="s">
        <v>2461</v>
      </c>
      <c r="G678" s="9" t="n">
        <f aca="false">DATE(2000+VALUE(MID(F678,7,2)),VALUE(MID(F678,4,2)),VALUE(LEFT(F678,2)))</f>
        <v>45555</v>
      </c>
      <c r="H678" s="8" t="s">
        <v>2462</v>
      </c>
      <c r="I678" s="9" t="n">
        <f aca="false">DATE(2000+VALUE(MID(H678,7,2)),VALUE(MID(H678,4,2)),VALUE(LEFT(H678,2)))</f>
        <v>45560</v>
      </c>
      <c r="J678" s="9"/>
      <c r="K678" s="10" t="n">
        <v>2650000</v>
      </c>
      <c r="L678" s="10" t="n">
        <v>0</v>
      </c>
      <c r="M678" s="10" t="n">
        <v>2650000</v>
      </c>
      <c r="N678" s="10" t="n">
        <v>0</v>
      </c>
      <c r="O678" s="10" t="n">
        <v>0</v>
      </c>
      <c r="P678" s="10" t="n">
        <v>0</v>
      </c>
      <c r="Q678" s="10" t="n">
        <v>2650000</v>
      </c>
      <c r="R678" s="10" t="n">
        <v>0</v>
      </c>
      <c r="S678" s="10" t="n">
        <v>0</v>
      </c>
      <c r="T678" s="7"/>
      <c r="U678" s="7"/>
      <c r="V678" s="7"/>
      <c r="W678" s="7" t="s">
        <v>49</v>
      </c>
      <c r="X678" s="7"/>
      <c r="Y678" s="7" t="s">
        <v>37</v>
      </c>
      <c r="Z678" s="7" t="s">
        <v>2463</v>
      </c>
      <c r="AA678" s="7" t="s">
        <v>2464</v>
      </c>
      <c r="AB678" s="10" t="n">
        <v>530000</v>
      </c>
      <c r="AC678" s="10" t="n">
        <v>5</v>
      </c>
    </row>
    <row r="679" customFormat="false" ht="15.75" hidden="true" customHeight="true" outlineLevel="0" collapsed="false">
      <c r="A679" s="6"/>
      <c r="B679" s="7" t="s">
        <v>2465</v>
      </c>
      <c r="C679" s="7" t="s">
        <v>65</v>
      </c>
      <c r="D679" s="7" t="s">
        <v>82</v>
      </c>
      <c r="E679" s="7" t="s">
        <v>2466</v>
      </c>
      <c r="F679" s="8" t="s">
        <v>2467</v>
      </c>
      <c r="G679" s="9" t="n">
        <f aca="false">DATE(2000+VALUE(MID(F679,7,2)),VALUE(MID(F679,4,2)),VALUE(LEFT(F679,2)))</f>
        <v>45559</v>
      </c>
      <c r="H679" s="8" t="s">
        <v>2462</v>
      </c>
      <c r="I679" s="9" t="n">
        <f aca="false">DATE(2000+VALUE(MID(H679,7,2)),VALUE(MID(H679,4,2)),VALUE(LEFT(H679,2)))</f>
        <v>45560</v>
      </c>
      <c r="J679" s="9"/>
      <c r="K679" s="10" t="n">
        <v>494000</v>
      </c>
      <c r="L679" s="10" t="n">
        <v>0</v>
      </c>
      <c r="M679" s="10" t="n">
        <v>494000</v>
      </c>
      <c r="N679" s="10" t="n">
        <v>0</v>
      </c>
      <c r="O679" s="10" t="n">
        <v>0</v>
      </c>
      <c r="P679" s="10" t="n">
        <v>0</v>
      </c>
      <c r="Q679" s="10" t="n">
        <v>494000</v>
      </c>
      <c r="R679" s="10" t="n">
        <v>0</v>
      </c>
      <c r="S679" s="10" t="n">
        <v>0</v>
      </c>
      <c r="T679" s="7"/>
      <c r="U679" s="7"/>
      <c r="V679" s="7"/>
      <c r="W679" s="7" t="s">
        <v>49</v>
      </c>
      <c r="X679" s="7"/>
      <c r="Y679" s="7" t="s">
        <v>37</v>
      </c>
      <c r="Z679" s="7" t="s">
        <v>2468</v>
      </c>
      <c r="AA679" s="7" t="s">
        <v>2469</v>
      </c>
      <c r="AB679" s="10" t="n">
        <v>494000</v>
      </c>
      <c r="AC679" s="10" t="n">
        <v>1</v>
      </c>
    </row>
    <row r="680" customFormat="false" ht="15.75" hidden="true" customHeight="true" outlineLevel="0" collapsed="false">
      <c r="A680" s="6"/>
      <c r="B680" s="7" t="s">
        <v>2076</v>
      </c>
      <c r="C680" s="7" t="s">
        <v>31</v>
      </c>
      <c r="D680" s="7" t="s">
        <v>45</v>
      </c>
      <c r="E680" s="7" t="s">
        <v>2470</v>
      </c>
      <c r="F680" s="8" t="s">
        <v>2467</v>
      </c>
      <c r="G680" s="9" t="n">
        <f aca="false">DATE(2000+VALUE(MID(F680,7,2)),VALUE(MID(F680,4,2)),VALUE(LEFT(F680,2)))</f>
        <v>45559</v>
      </c>
      <c r="H680" s="8" t="s">
        <v>2471</v>
      </c>
      <c r="I680" s="9" t="n">
        <f aca="false">DATE(2000+VALUE(MID(H680,7,2)),VALUE(MID(H680,4,2)),VALUE(LEFT(H680,2)))</f>
        <v>45560</v>
      </c>
      <c r="J680" s="9"/>
      <c r="K680" s="10" t="n">
        <v>760000</v>
      </c>
      <c r="L680" s="10" t="n">
        <v>0</v>
      </c>
      <c r="M680" s="10" t="n">
        <v>760000</v>
      </c>
      <c r="N680" s="10" t="n">
        <v>0</v>
      </c>
      <c r="O680" s="10" t="n">
        <v>0</v>
      </c>
      <c r="P680" s="10" t="n">
        <v>0</v>
      </c>
      <c r="Q680" s="10" t="n">
        <v>760000</v>
      </c>
      <c r="R680" s="10" t="n">
        <v>0</v>
      </c>
      <c r="S680" s="10" t="n">
        <v>0</v>
      </c>
      <c r="T680" s="7"/>
      <c r="U680" s="7"/>
      <c r="V680" s="7"/>
      <c r="W680" s="7" t="s">
        <v>43</v>
      </c>
      <c r="X680" s="7"/>
      <c r="Y680" s="7" t="s">
        <v>37</v>
      </c>
      <c r="Z680" s="7" t="s">
        <v>2472</v>
      </c>
      <c r="AA680" s="7"/>
      <c r="AB680" s="10" t="n">
        <v>760000</v>
      </c>
      <c r="AC680" s="10" t="n">
        <v>1</v>
      </c>
    </row>
    <row r="681" customFormat="false" ht="15.75" hidden="true" customHeight="true" outlineLevel="0" collapsed="false">
      <c r="A681" s="6"/>
      <c r="B681" s="7" t="s">
        <v>2070</v>
      </c>
      <c r="C681" s="7" t="s">
        <v>65</v>
      </c>
      <c r="D681" s="7" t="s">
        <v>156</v>
      </c>
      <c r="E681" s="7" t="s">
        <v>2445</v>
      </c>
      <c r="F681" s="8" t="s">
        <v>2473</v>
      </c>
      <c r="G681" s="9" t="n">
        <f aca="false">DATE(2000+VALUE(MID(F681,7,2)),VALUE(MID(F681,4,2)),VALUE(LEFT(F681,2)))</f>
        <v>45559</v>
      </c>
      <c r="H681" s="8" t="s">
        <v>2471</v>
      </c>
      <c r="I681" s="9" t="n">
        <f aca="false">DATE(2000+VALUE(MID(H681,7,2)),VALUE(MID(H681,4,2)),VALUE(LEFT(H681,2)))</f>
        <v>45560</v>
      </c>
      <c r="J681" s="9"/>
      <c r="K681" s="10" t="n">
        <v>500000</v>
      </c>
      <c r="L681" s="10" t="n">
        <v>0</v>
      </c>
      <c r="M681" s="10" t="n">
        <v>500000</v>
      </c>
      <c r="N681" s="10" t="n">
        <v>0</v>
      </c>
      <c r="O681" s="10" t="n">
        <v>500000</v>
      </c>
      <c r="P681" s="10" t="n">
        <v>0</v>
      </c>
      <c r="Q681" s="10" t="n">
        <v>0</v>
      </c>
      <c r="R681" s="10" t="n">
        <v>0</v>
      </c>
      <c r="S681" s="10" t="n">
        <v>0</v>
      </c>
      <c r="T681" s="7"/>
      <c r="U681" s="7"/>
      <c r="V681" s="7"/>
      <c r="W681" s="7" t="s">
        <v>36</v>
      </c>
      <c r="X681" s="7"/>
      <c r="Y681" s="7" t="s">
        <v>37</v>
      </c>
      <c r="Z681" s="7" t="s">
        <v>2474</v>
      </c>
      <c r="AA681" s="7"/>
      <c r="AB681" s="10" t="n">
        <v>500000</v>
      </c>
      <c r="AC681" s="10" t="n">
        <v>1</v>
      </c>
    </row>
    <row r="682" customFormat="false" ht="15.75" hidden="true" customHeight="true" outlineLevel="0" collapsed="false">
      <c r="A682" s="6"/>
      <c r="B682" s="7" t="s">
        <v>2047</v>
      </c>
      <c r="C682" s="7" t="s">
        <v>31</v>
      </c>
      <c r="D682" s="7" t="s">
        <v>361</v>
      </c>
      <c r="E682" s="7" t="s">
        <v>2475</v>
      </c>
      <c r="F682" s="8" t="s">
        <v>2457</v>
      </c>
      <c r="G682" s="9" t="n">
        <f aca="false">DATE(2000+VALUE(MID(F682,7,2)),VALUE(MID(F682,4,2)),VALUE(LEFT(F682,2)))</f>
        <v>45557</v>
      </c>
      <c r="H682" s="8" t="s">
        <v>2476</v>
      </c>
      <c r="I682" s="9" t="n">
        <f aca="false">DATE(2000+VALUE(MID(H682,7,2)),VALUE(MID(H682,4,2)),VALUE(LEFT(H682,2)))</f>
        <v>45560</v>
      </c>
      <c r="J682" s="9"/>
      <c r="K682" s="10" t="n">
        <v>2157000</v>
      </c>
      <c r="L682" s="10" t="n">
        <v>0</v>
      </c>
      <c r="M682" s="10" t="n">
        <v>2157000</v>
      </c>
      <c r="N682" s="10" t="n">
        <v>0</v>
      </c>
      <c r="O682" s="10" t="n">
        <v>0</v>
      </c>
      <c r="P682" s="10" t="n">
        <v>0</v>
      </c>
      <c r="Q682" s="10" t="n">
        <v>2157000</v>
      </c>
      <c r="R682" s="10" t="n">
        <v>0</v>
      </c>
      <c r="S682" s="10" t="n">
        <v>0</v>
      </c>
      <c r="T682" s="7"/>
      <c r="U682" s="7"/>
      <c r="V682" s="7"/>
      <c r="W682" s="7" t="s">
        <v>43</v>
      </c>
      <c r="X682" s="7"/>
      <c r="Y682" s="7" t="s">
        <v>37</v>
      </c>
      <c r="Z682" s="7" t="s">
        <v>2477</v>
      </c>
      <c r="AA682" s="7"/>
      <c r="AB682" s="10" t="n">
        <v>719000</v>
      </c>
      <c r="AC682" s="10" t="n">
        <v>3</v>
      </c>
    </row>
    <row r="683" customFormat="false" ht="15.75" hidden="true" customHeight="true" outlineLevel="0" collapsed="false">
      <c r="A683" s="6"/>
      <c r="B683" s="7" t="s">
        <v>2070</v>
      </c>
      <c r="C683" s="7" t="s">
        <v>65</v>
      </c>
      <c r="D683" s="7" t="s">
        <v>96</v>
      </c>
      <c r="E683" s="7" t="s">
        <v>2445</v>
      </c>
      <c r="F683" s="8" t="s">
        <v>2473</v>
      </c>
      <c r="G683" s="9" t="n">
        <f aca="false">DATE(2000+VALUE(MID(F683,7,2)),VALUE(MID(F683,4,2)),VALUE(LEFT(F683,2)))</f>
        <v>45559</v>
      </c>
      <c r="H683" s="8" t="s">
        <v>2476</v>
      </c>
      <c r="I683" s="9" t="n">
        <f aca="false">DATE(2000+VALUE(MID(H683,7,2)),VALUE(MID(H683,4,2)),VALUE(LEFT(H683,2)))</f>
        <v>45560</v>
      </c>
      <c r="J683" s="9"/>
      <c r="K683" s="10" t="n">
        <v>500000</v>
      </c>
      <c r="L683" s="10" t="n">
        <v>0</v>
      </c>
      <c r="M683" s="10" t="n">
        <v>500000</v>
      </c>
      <c r="N683" s="10" t="n">
        <v>0</v>
      </c>
      <c r="O683" s="10" t="n">
        <v>500000</v>
      </c>
      <c r="P683" s="10" t="n">
        <v>0</v>
      </c>
      <c r="Q683" s="10" t="n">
        <v>0</v>
      </c>
      <c r="R683" s="10" t="n">
        <v>0</v>
      </c>
      <c r="S683" s="10" t="n">
        <v>0</v>
      </c>
      <c r="T683" s="7"/>
      <c r="U683" s="7"/>
      <c r="V683" s="7"/>
      <c r="W683" s="7" t="s">
        <v>36</v>
      </c>
      <c r="X683" s="7"/>
      <c r="Y683" s="7" t="s">
        <v>37</v>
      </c>
      <c r="Z683" s="7" t="s">
        <v>2478</v>
      </c>
      <c r="AA683" s="7"/>
      <c r="AB683" s="10" t="n">
        <v>500000</v>
      </c>
      <c r="AC683" s="10" t="n">
        <v>1</v>
      </c>
    </row>
    <row r="684" customFormat="false" ht="15.75" hidden="true" customHeight="true" outlineLevel="0" collapsed="false">
      <c r="A684" s="6"/>
      <c r="B684" s="7" t="s">
        <v>2061</v>
      </c>
      <c r="C684" s="7" t="s">
        <v>65</v>
      </c>
      <c r="D684" s="7" t="s">
        <v>66</v>
      </c>
      <c r="E684" s="7" t="s">
        <v>2479</v>
      </c>
      <c r="F684" s="8" t="s">
        <v>2480</v>
      </c>
      <c r="G684" s="9" t="n">
        <f aca="false">DATE(2000+VALUE(MID(F684,7,2)),VALUE(MID(F684,4,2)),VALUE(LEFT(F684,2)))</f>
        <v>45560</v>
      </c>
      <c r="H684" s="8" t="s">
        <v>2481</v>
      </c>
      <c r="I684" s="9" t="n">
        <f aca="false">DATE(2000+VALUE(MID(H684,7,2)),VALUE(MID(H684,4,2)),VALUE(LEFT(H684,2)))</f>
        <v>45560</v>
      </c>
      <c r="J684" s="9"/>
      <c r="K684" s="10" t="n">
        <v>350000</v>
      </c>
      <c r="L684" s="10" t="n">
        <v>0</v>
      </c>
      <c r="M684" s="10" t="n">
        <v>350000</v>
      </c>
      <c r="N684" s="10" t="n">
        <v>0</v>
      </c>
      <c r="O684" s="10" t="n">
        <v>0</v>
      </c>
      <c r="P684" s="10" t="n">
        <v>0</v>
      </c>
      <c r="Q684" s="10" t="n">
        <v>350000</v>
      </c>
      <c r="R684" s="10" t="n">
        <v>0</v>
      </c>
      <c r="S684" s="10" t="n">
        <v>0</v>
      </c>
      <c r="T684" s="7"/>
      <c r="U684" s="7"/>
      <c r="V684" s="7"/>
      <c r="W684" s="7" t="s">
        <v>43</v>
      </c>
      <c r="X684" s="7"/>
      <c r="Y684" s="7" t="s">
        <v>37</v>
      </c>
      <c r="Z684" s="7" t="s">
        <v>2482</v>
      </c>
      <c r="AA684" s="7"/>
      <c r="AB684" s="10" t="n">
        <v>350000</v>
      </c>
      <c r="AC684" s="10" t="n">
        <v>1</v>
      </c>
    </row>
    <row r="685" customFormat="false" ht="15.75" hidden="true" customHeight="true" outlineLevel="0" collapsed="false">
      <c r="A685" s="6"/>
      <c r="B685" s="7" t="s">
        <v>2107</v>
      </c>
      <c r="C685" s="7" t="s">
        <v>65</v>
      </c>
      <c r="D685" s="7" t="s">
        <v>156</v>
      </c>
      <c r="E685" s="7" t="s">
        <v>2483</v>
      </c>
      <c r="F685" s="8" t="s">
        <v>2484</v>
      </c>
      <c r="G685" s="9" t="n">
        <f aca="false">DATE(2000+VALUE(MID(F685,7,2)),VALUE(MID(F685,4,2)),VALUE(LEFT(F685,2)))</f>
        <v>45560</v>
      </c>
      <c r="H685" s="8" t="s">
        <v>2485</v>
      </c>
      <c r="I685" s="9" t="n">
        <f aca="false">DATE(2000+VALUE(MID(H685,7,2)),VALUE(MID(H685,4,2)),VALUE(LEFT(H685,2)))</f>
        <v>45560</v>
      </c>
      <c r="J685" s="9"/>
      <c r="K685" s="10" t="n">
        <v>350000</v>
      </c>
      <c r="L685" s="10" t="n">
        <v>0</v>
      </c>
      <c r="M685" s="10" t="n">
        <v>350000</v>
      </c>
      <c r="N685" s="10" t="n">
        <v>0</v>
      </c>
      <c r="O685" s="10" t="n">
        <v>0</v>
      </c>
      <c r="P685" s="10" t="n">
        <v>0</v>
      </c>
      <c r="Q685" s="10" t="n">
        <v>350000</v>
      </c>
      <c r="R685" s="10" t="n">
        <v>0</v>
      </c>
      <c r="S685" s="10" t="n">
        <v>0</v>
      </c>
      <c r="T685" s="7"/>
      <c r="U685" s="7"/>
      <c r="V685" s="7"/>
      <c r="W685" s="7" t="s">
        <v>43</v>
      </c>
      <c r="X685" s="7"/>
      <c r="Y685" s="7" t="s">
        <v>37</v>
      </c>
      <c r="Z685" s="7" t="s">
        <v>2486</v>
      </c>
      <c r="AA685" s="7"/>
      <c r="AB685" s="10" t="n">
        <v>350000</v>
      </c>
      <c r="AC685" s="10" t="n">
        <v>1</v>
      </c>
    </row>
    <row r="686" customFormat="false" ht="15.75" hidden="true" customHeight="true" outlineLevel="0" collapsed="false">
      <c r="A686" s="6"/>
      <c r="B686" s="7" t="s">
        <v>2093</v>
      </c>
      <c r="C686" s="7" t="s">
        <v>65</v>
      </c>
      <c r="D686" s="7" t="s">
        <v>96</v>
      </c>
      <c r="E686" s="7" t="s">
        <v>2487</v>
      </c>
      <c r="F686" s="8" t="s">
        <v>2488</v>
      </c>
      <c r="G686" s="9" t="n">
        <f aca="false">DATE(2000+VALUE(MID(F686,7,2)),VALUE(MID(F686,4,2)),VALUE(LEFT(F686,2)))</f>
        <v>45560</v>
      </c>
      <c r="H686" s="8" t="s">
        <v>2489</v>
      </c>
      <c r="I686" s="9" t="n">
        <f aca="false">DATE(2000+VALUE(MID(H686,7,2)),VALUE(MID(H686,4,2)),VALUE(LEFT(H686,2)))</f>
        <v>45560</v>
      </c>
      <c r="J686" s="9"/>
      <c r="K686" s="10" t="n">
        <v>350000</v>
      </c>
      <c r="L686" s="10" t="n">
        <v>0</v>
      </c>
      <c r="M686" s="10" t="n">
        <v>350000</v>
      </c>
      <c r="N686" s="10" t="n">
        <v>0</v>
      </c>
      <c r="O686" s="10" t="n">
        <v>350000</v>
      </c>
      <c r="P686" s="10" t="n">
        <v>0</v>
      </c>
      <c r="Q686" s="10" t="n">
        <v>0</v>
      </c>
      <c r="R686" s="10" t="n">
        <v>0</v>
      </c>
      <c r="S686" s="10" t="n">
        <v>0</v>
      </c>
      <c r="T686" s="7"/>
      <c r="U686" s="7"/>
      <c r="V686" s="7"/>
      <c r="W686" s="7" t="s">
        <v>43</v>
      </c>
      <c r="X686" s="7"/>
      <c r="Y686" s="7" t="s">
        <v>37</v>
      </c>
      <c r="Z686" s="7" t="s">
        <v>2490</v>
      </c>
      <c r="AA686" s="7"/>
      <c r="AB686" s="10" t="n">
        <v>350000</v>
      </c>
      <c r="AC686" s="10" t="n">
        <v>1</v>
      </c>
    </row>
    <row r="687" customFormat="false" ht="15.75" hidden="true" customHeight="true" outlineLevel="0" collapsed="false">
      <c r="A687" s="6"/>
      <c r="B687" s="7" t="s">
        <v>2137</v>
      </c>
      <c r="C687" s="7" t="s">
        <v>65</v>
      </c>
      <c r="D687" s="7" t="s">
        <v>82</v>
      </c>
      <c r="E687" s="7" t="s">
        <v>2491</v>
      </c>
      <c r="F687" s="8" t="s">
        <v>2492</v>
      </c>
      <c r="G687" s="9" t="n">
        <f aca="false">DATE(2000+VALUE(MID(F687,7,2)),VALUE(MID(F687,4,2)),VALUE(LEFT(F687,2)))</f>
        <v>45560</v>
      </c>
      <c r="H687" s="8" t="s">
        <v>2493</v>
      </c>
      <c r="I687" s="9" t="n">
        <f aca="false">DATE(2000+VALUE(MID(H687,7,2)),VALUE(MID(H687,4,2)),VALUE(LEFT(H687,2)))</f>
        <v>45561</v>
      </c>
      <c r="J687" s="9"/>
      <c r="K687" s="10" t="n">
        <v>494000</v>
      </c>
      <c r="L687" s="10" t="n">
        <v>0</v>
      </c>
      <c r="M687" s="10" t="n">
        <v>494000</v>
      </c>
      <c r="N687" s="10" t="n">
        <v>0</v>
      </c>
      <c r="O687" s="10" t="n">
        <v>0</v>
      </c>
      <c r="P687" s="10" t="n">
        <v>0</v>
      </c>
      <c r="Q687" s="10" t="n">
        <v>494000</v>
      </c>
      <c r="R687" s="10" t="n">
        <v>0</v>
      </c>
      <c r="S687" s="10" t="n">
        <v>0</v>
      </c>
      <c r="T687" s="7"/>
      <c r="U687" s="7"/>
      <c r="V687" s="7"/>
      <c r="W687" s="7" t="s">
        <v>43</v>
      </c>
      <c r="X687" s="7"/>
      <c r="Y687" s="7" t="s">
        <v>37</v>
      </c>
      <c r="Z687" s="7" t="s">
        <v>2494</v>
      </c>
      <c r="AA687" s="7"/>
      <c r="AB687" s="10" t="n">
        <v>494000</v>
      </c>
      <c r="AC687" s="10" t="n">
        <v>1</v>
      </c>
    </row>
    <row r="688" customFormat="false" ht="15.75" hidden="true" customHeight="true" outlineLevel="0" collapsed="false">
      <c r="A688" s="6"/>
      <c r="B688" s="7" t="s">
        <v>2121</v>
      </c>
      <c r="C688" s="7" t="s">
        <v>31</v>
      </c>
      <c r="D688" s="7" t="s">
        <v>361</v>
      </c>
      <c r="E688" s="7" t="s">
        <v>2495</v>
      </c>
      <c r="F688" s="8" t="s">
        <v>2496</v>
      </c>
      <c r="G688" s="9" t="n">
        <f aca="false">DATE(2000+VALUE(MID(F688,7,2)),VALUE(MID(F688,4,2)),VALUE(LEFT(F688,2)))</f>
        <v>45560</v>
      </c>
      <c r="H688" s="8" t="s">
        <v>2497</v>
      </c>
      <c r="I688" s="9" t="n">
        <f aca="false">DATE(2000+VALUE(MID(H688,7,2)),VALUE(MID(H688,4,2)),VALUE(LEFT(H688,2)))</f>
        <v>45561</v>
      </c>
      <c r="J688" s="9"/>
      <c r="K688" s="10" t="n">
        <v>719000</v>
      </c>
      <c r="L688" s="10" t="n">
        <v>0</v>
      </c>
      <c r="M688" s="10" t="n">
        <v>719000</v>
      </c>
      <c r="N688" s="10" t="n">
        <v>0</v>
      </c>
      <c r="O688" s="10" t="n">
        <v>0</v>
      </c>
      <c r="P688" s="10" t="n">
        <v>0</v>
      </c>
      <c r="Q688" s="10" t="n">
        <v>719000</v>
      </c>
      <c r="R688" s="10" t="n">
        <v>0</v>
      </c>
      <c r="S688" s="10" t="n">
        <v>0</v>
      </c>
      <c r="T688" s="7"/>
      <c r="U688" s="7"/>
      <c r="V688" s="7"/>
      <c r="W688" s="7" t="s">
        <v>43</v>
      </c>
      <c r="X688" s="7"/>
      <c r="Y688" s="7" t="s">
        <v>37</v>
      </c>
      <c r="Z688" s="7" t="s">
        <v>2498</v>
      </c>
      <c r="AA688" s="7"/>
      <c r="AB688" s="10" t="n">
        <v>719000</v>
      </c>
      <c r="AC688" s="10" t="n">
        <v>1</v>
      </c>
    </row>
    <row r="689" customFormat="false" ht="15.75" hidden="true" customHeight="true" outlineLevel="0" collapsed="false">
      <c r="A689" s="6"/>
      <c r="B689" s="7" t="s">
        <v>2121</v>
      </c>
      <c r="C689" s="7" t="s">
        <v>60</v>
      </c>
      <c r="D689" s="7" t="s">
        <v>164</v>
      </c>
      <c r="E689" s="7" t="s">
        <v>2499</v>
      </c>
      <c r="F689" s="8" t="s">
        <v>2500</v>
      </c>
      <c r="G689" s="9" t="n">
        <f aca="false">DATE(2000+VALUE(MID(F689,7,2)),VALUE(MID(F689,4,2)),VALUE(LEFT(F689,2)))</f>
        <v>45560</v>
      </c>
      <c r="H689" s="8" t="s">
        <v>2501</v>
      </c>
      <c r="I689" s="9" t="n">
        <f aca="false">DATE(2000+VALUE(MID(H689,7,2)),VALUE(MID(H689,4,2)),VALUE(LEFT(H689,2)))</f>
        <v>45561</v>
      </c>
      <c r="J689" s="9"/>
      <c r="K689" s="10" t="n">
        <v>584000</v>
      </c>
      <c r="L689" s="10" t="n">
        <v>0</v>
      </c>
      <c r="M689" s="10" t="n">
        <v>584000</v>
      </c>
      <c r="N689" s="10" t="n">
        <v>0</v>
      </c>
      <c r="O689" s="10" t="n">
        <v>0</v>
      </c>
      <c r="P689" s="10" t="n">
        <v>0</v>
      </c>
      <c r="Q689" s="10" t="n">
        <v>584000</v>
      </c>
      <c r="R689" s="10" t="n">
        <v>0</v>
      </c>
      <c r="S689" s="10" t="n">
        <v>0</v>
      </c>
      <c r="T689" s="7"/>
      <c r="U689" s="7"/>
      <c r="V689" s="7"/>
      <c r="W689" s="7" t="s">
        <v>43</v>
      </c>
      <c r="X689" s="7"/>
      <c r="Y689" s="7" t="s">
        <v>37</v>
      </c>
      <c r="Z689" s="7" t="s">
        <v>2502</v>
      </c>
      <c r="AA689" s="7"/>
      <c r="AB689" s="10" t="n">
        <v>584000</v>
      </c>
      <c r="AC689" s="10" t="n">
        <v>1</v>
      </c>
    </row>
    <row r="690" customFormat="false" ht="15.75" hidden="true" customHeight="true" outlineLevel="0" collapsed="false">
      <c r="A690" s="6"/>
      <c r="B690" s="7" t="s">
        <v>2065</v>
      </c>
      <c r="C690" s="7" t="s">
        <v>60</v>
      </c>
      <c r="D690" s="7" t="s">
        <v>116</v>
      </c>
      <c r="E690" s="7" t="s">
        <v>2503</v>
      </c>
      <c r="F690" s="8" t="s">
        <v>2504</v>
      </c>
      <c r="G690" s="9" t="n">
        <f aca="false">DATE(2000+VALUE(MID(F690,7,2)),VALUE(MID(F690,4,2)),VALUE(LEFT(F690,2)))</f>
        <v>45560</v>
      </c>
      <c r="H690" s="8" t="s">
        <v>2505</v>
      </c>
      <c r="I690" s="9" t="n">
        <f aca="false">DATE(2000+VALUE(MID(H690,7,2)),VALUE(MID(H690,4,2)),VALUE(LEFT(H690,2)))</f>
        <v>45561</v>
      </c>
      <c r="J690" s="9"/>
      <c r="K690" s="10" t="n">
        <v>600000</v>
      </c>
      <c r="L690" s="10" t="n">
        <v>0</v>
      </c>
      <c r="M690" s="10" t="n">
        <v>600000</v>
      </c>
      <c r="N690" s="10" t="n">
        <v>0</v>
      </c>
      <c r="O690" s="10" t="n">
        <v>600000</v>
      </c>
      <c r="P690" s="10" t="n">
        <v>0</v>
      </c>
      <c r="Q690" s="10" t="n">
        <v>0</v>
      </c>
      <c r="R690" s="10" t="n">
        <v>0</v>
      </c>
      <c r="S690" s="10" t="n">
        <v>0</v>
      </c>
      <c r="T690" s="7"/>
      <c r="U690" s="7"/>
      <c r="V690" s="7"/>
      <c r="W690" s="7" t="s">
        <v>43</v>
      </c>
      <c r="X690" s="7"/>
      <c r="Y690" s="7" t="s">
        <v>37</v>
      </c>
      <c r="Z690" s="7" t="s">
        <v>2506</v>
      </c>
      <c r="AA690" s="7"/>
      <c r="AB690" s="10" t="n">
        <v>600000</v>
      </c>
      <c r="AC690" s="10" t="n">
        <v>1</v>
      </c>
    </row>
    <row r="691" customFormat="false" ht="15.75" hidden="true" customHeight="true" outlineLevel="0" collapsed="false">
      <c r="A691" s="6"/>
      <c r="B691" s="7" t="s">
        <v>2148</v>
      </c>
      <c r="C691" s="7" t="s">
        <v>65</v>
      </c>
      <c r="D691" s="7" t="s">
        <v>156</v>
      </c>
      <c r="E691" s="7" t="s">
        <v>2507</v>
      </c>
      <c r="F691" s="8" t="s">
        <v>2508</v>
      </c>
      <c r="G691" s="9" t="n">
        <f aca="false">DATE(2000+VALUE(MID(F691,7,2)),VALUE(MID(F691,4,2)),VALUE(LEFT(F691,2)))</f>
        <v>45561</v>
      </c>
      <c r="H691" s="8" t="s">
        <v>2509</v>
      </c>
      <c r="I691" s="9" t="n">
        <f aca="false">DATE(2000+VALUE(MID(H691,7,2)),VALUE(MID(H691,4,2)),VALUE(LEFT(H691,2)))</f>
        <v>45562</v>
      </c>
      <c r="J691" s="9"/>
      <c r="K691" s="10" t="n">
        <v>500000</v>
      </c>
      <c r="L691" s="10" t="n">
        <v>0</v>
      </c>
      <c r="M691" s="10" t="n">
        <v>500000</v>
      </c>
      <c r="N691" s="10" t="n">
        <v>0</v>
      </c>
      <c r="O691" s="10" t="n">
        <v>500000</v>
      </c>
      <c r="P691" s="10" t="n">
        <v>0</v>
      </c>
      <c r="Q691" s="10" t="n">
        <v>0</v>
      </c>
      <c r="R691" s="10" t="n">
        <v>0</v>
      </c>
      <c r="S691" s="10" t="n">
        <v>0</v>
      </c>
      <c r="T691" s="7"/>
      <c r="U691" s="7"/>
      <c r="V691" s="7"/>
      <c r="W691" s="7" t="s">
        <v>43</v>
      </c>
      <c r="X691" s="7"/>
      <c r="Y691" s="7" t="s">
        <v>37</v>
      </c>
      <c r="Z691" s="7" t="s">
        <v>2510</v>
      </c>
      <c r="AA691" s="7"/>
      <c r="AB691" s="10" t="n">
        <v>500000</v>
      </c>
      <c r="AC691" s="10" t="n">
        <v>1</v>
      </c>
    </row>
    <row r="692" customFormat="false" ht="15.75" hidden="true" customHeight="true" outlineLevel="0" collapsed="false">
      <c r="A692" s="6"/>
      <c r="B692" s="7" t="s">
        <v>2174</v>
      </c>
      <c r="C692" s="7" t="s">
        <v>65</v>
      </c>
      <c r="D692" s="7" t="s">
        <v>96</v>
      </c>
      <c r="E692" s="7" t="s">
        <v>2511</v>
      </c>
      <c r="F692" s="8" t="s">
        <v>2512</v>
      </c>
      <c r="G692" s="9" t="n">
        <f aca="false">DATE(2000+VALUE(MID(F692,7,2)),VALUE(MID(F692,4,2)),VALUE(LEFT(F692,2)))</f>
        <v>45561</v>
      </c>
      <c r="H692" s="8" t="s">
        <v>2513</v>
      </c>
      <c r="I692" s="9" t="n">
        <f aca="false">DATE(2000+VALUE(MID(H692,7,2)),VALUE(MID(H692,4,2)),VALUE(LEFT(H692,2)))</f>
        <v>45562</v>
      </c>
      <c r="J692" s="9"/>
      <c r="K692" s="10" t="n">
        <v>542376</v>
      </c>
      <c r="L692" s="10" t="n">
        <v>0</v>
      </c>
      <c r="M692" s="10" t="n">
        <v>542376</v>
      </c>
      <c r="N692" s="10" t="n">
        <v>0</v>
      </c>
      <c r="O692" s="10" t="n">
        <v>542376</v>
      </c>
      <c r="P692" s="10" t="n">
        <v>0</v>
      </c>
      <c r="Q692" s="10" t="n">
        <v>0</v>
      </c>
      <c r="R692" s="10" t="n">
        <v>0</v>
      </c>
      <c r="S692" s="10" t="n">
        <v>0</v>
      </c>
      <c r="T692" s="7"/>
      <c r="U692" s="7"/>
      <c r="V692" s="7"/>
      <c r="W692" s="7" t="s">
        <v>49</v>
      </c>
      <c r="X692" s="7"/>
      <c r="Y692" s="7" t="s">
        <v>37</v>
      </c>
      <c r="Z692" s="7" t="s">
        <v>2514</v>
      </c>
      <c r="AA692" s="7" t="s">
        <v>2515</v>
      </c>
      <c r="AB692" s="10" t="n">
        <v>542376</v>
      </c>
      <c r="AC692" s="10" t="n">
        <v>1</v>
      </c>
    </row>
    <row r="693" customFormat="false" ht="15.75" hidden="true" customHeight="true" outlineLevel="0" collapsed="false">
      <c r="A693" s="6"/>
      <c r="B693" s="7" t="s">
        <v>2151</v>
      </c>
      <c r="C693" s="7" t="s">
        <v>65</v>
      </c>
      <c r="D693" s="7" t="s">
        <v>87</v>
      </c>
      <c r="E693" s="7" t="s">
        <v>1877</v>
      </c>
      <c r="F693" s="8" t="s">
        <v>2516</v>
      </c>
      <c r="G693" s="9" t="n">
        <f aca="false">DATE(2000+VALUE(MID(F693,7,2)),VALUE(MID(F693,4,2)),VALUE(LEFT(F693,2)))</f>
        <v>45562</v>
      </c>
      <c r="H693" s="8" t="s">
        <v>2517</v>
      </c>
      <c r="I693" s="9" t="n">
        <f aca="false">DATE(2000+VALUE(MID(H693,7,2)),VALUE(MID(H693,4,2)),VALUE(LEFT(H693,2)))</f>
        <v>45562</v>
      </c>
      <c r="J693" s="9"/>
      <c r="K693" s="10" t="n">
        <v>350000</v>
      </c>
      <c r="L693" s="10" t="n">
        <v>0</v>
      </c>
      <c r="M693" s="10" t="n">
        <v>350000</v>
      </c>
      <c r="N693" s="10" t="n">
        <v>0</v>
      </c>
      <c r="O693" s="10" t="n">
        <v>350000</v>
      </c>
      <c r="P693" s="10" t="n">
        <v>0</v>
      </c>
      <c r="Q693" s="10" t="n">
        <v>0</v>
      </c>
      <c r="R693" s="10" t="n">
        <v>0</v>
      </c>
      <c r="S693" s="10" t="n">
        <v>0</v>
      </c>
      <c r="T693" s="7"/>
      <c r="U693" s="7"/>
      <c r="V693" s="7"/>
      <c r="W693" s="7" t="s">
        <v>36</v>
      </c>
      <c r="X693" s="7"/>
      <c r="Y693" s="7" t="s">
        <v>37</v>
      </c>
      <c r="Z693" s="7" t="s">
        <v>2518</v>
      </c>
      <c r="AA693" s="7"/>
      <c r="AB693" s="10" t="n">
        <v>350000</v>
      </c>
      <c r="AC693" s="10" t="n">
        <v>1</v>
      </c>
    </row>
    <row r="694" customFormat="false" ht="15.75" hidden="true" customHeight="true" outlineLevel="0" collapsed="false">
      <c r="A694" s="6"/>
      <c r="B694" s="7" t="s">
        <v>2519</v>
      </c>
      <c r="C694" s="7" t="s">
        <v>71</v>
      </c>
      <c r="D694" s="7" t="s">
        <v>92</v>
      </c>
      <c r="E694" s="7" t="s">
        <v>2520</v>
      </c>
      <c r="F694" s="8" t="s">
        <v>2521</v>
      </c>
      <c r="G694" s="9" t="n">
        <f aca="false">DATE(2000+VALUE(MID(F694,7,2)),VALUE(MID(F694,4,2)),VALUE(LEFT(F694,2)))</f>
        <v>45562</v>
      </c>
      <c r="H694" s="8" t="s">
        <v>2522</v>
      </c>
      <c r="I694" s="9" t="n">
        <f aca="false">DATE(2000+VALUE(MID(H694,7,2)),VALUE(MID(H694,4,2)),VALUE(LEFT(H694,2)))</f>
        <v>45563</v>
      </c>
      <c r="J694" s="9"/>
      <c r="K694" s="10" t="n">
        <v>608828</v>
      </c>
      <c r="L694" s="10" t="n">
        <v>0</v>
      </c>
      <c r="M694" s="10" t="n">
        <v>608828</v>
      </c>
      <c r="N694" s="10" t="n">
        <v>0</v>
      </c>
      <c r="O694" s="10" t="n">
        <v>608828</v>
      </c>
      <c r="P694" s="10" t="n">
        <v>0</v>
      </c>
      <c r="Q694" s="10" t="n">
        <v>0</v>
      </c>
      <c r="R694" s="10" t="n">
        <v>0</v>
      </c>
      <c r="S694" s="10" t="n">
        <v>0</v>
      </c>
      <c r="T694" s="7"/>
      <c r="U694" s="7"/>
      <c r="V694" s="7"/>
      <c r="W694" s="7" t="s">
        <v>49</v>
      </c>
      <c r="X694" s="7"/>
      <c r="Y694" s="7" t="s">
        <v>37</v>
      </c>
      <c r="Z694" s="7" t="s">
        <v>2523</v>
      </c>
      <c r="AA694" s="7" t="s">
        <v>2524</v>
      </c>
      <c r="AB694" s="10" t="n">
        <v>608828</v>
      </c>
      <c r="AC694" s="10" t="n">
        <v>1</v>
      </c>
    </row>
    <row r="695" customFormat="false" ht="15.75" hidden="true" customHeight="true" outlineLevel="0" collapsed="false">
      <c r="A695" s="6"/>
      <c r="B695" s="7" t="s">
        <v>2214</v>
      </c>
      <c r="C695" s="7" t="s">
        <v>65</v>
      </c>
      <c r="D695" s="7" t="s">
        <v>87</v>
      </c>
      <c r="E695" s="7" t="s">
        <v>2525</v>
      </c>
      <c r="F695" s="8" t="s">
        <v>2526</v>
      </c>
      <c r="G695" s="9" t="n">
        <f aca="false">DATE(2000+VALUE(MID(F695,7,2)),VALUE(MID(F695,4,2)),VALUE(LEFT(F695,2)))</f>
        <v>45562</v>
      </c>
      <c r="H695" s="8" t="s">
        <v>2527</v>
      </c>
      <c r="I695" s="9" t="n">
        <f aca="false">DATE(2000+VALUE(MID(H695,7,2)),VALUE(MID(H695,4,2)),VALUE(LEFT(H695,2)))</f>
        <v>45563</v>
      </c>
      <c r="J695" s="9"/>
      <c r="K695" s="10" t="n">
        <v>494000</v>
      </c>
      <c r="L695" s="10" t="n">
        <v>0</v>
      </c>
      <c r="M695" s="10" t="n">
        <v>494000</v>
      </c>
      <c r="N695" s="10" t="n">
        <v>0</v>
      </c>
      <c r="O695" s="10" t="n">
        <v>0</v>
      </c>
      <c r="P695" s="10" t="n">
        <v>0</v>
      </c>
      <c r="Q695" s="10" t="n">
        <v>494000</v>
      </c>
      <c r="R695" s="10" t="n">
        <v>0</v>
      </c>
      <c r="S695" s="10" t="n">
        <v>0</v>
      </c>
      <c r="T695" s="7"/>
      <c r="U695" s="7"/>
      <c r="V695" s="7"/>
      <c r="W695" s="7" t="s">
        <v>36</v>
      </c>
      <c r="X695" s="7"/>
      <c r="Y695" s="7" t="s">
        <v>37</v>
      </c>
      <c r="Z695" s="7" t="s">
        <v>2528</v>
      </c>
      <c r="AA695" s="7"/>
      <c r="AB695" s="10" t="n">
        <v>494000</v>
      </c>
      <c r="AC695" s="10" t="n">
        <v>1</v>
      </c>
    </row>
    <row r="696" customFormat="false" ht="15.75" hidden="true" customHeight="true" outlineLevel="0" collapsed="false">
      <c r="A696" s="6"/>
      <c r="B696" s="7" t="s">
        <v>2529</v>
      </c>
      <c r="C696" s="7" t="s">
        <v>65</v>
      </c>
      <c r="D696" s="7" t="s">
        <v>156</v>
      </c>
      <c r="E696" s="7" t="s">
        <v>2530</v>
      </c>
      <c r="F696" s="8" t="s">
        <v>2531</v>
      </c>
      <c r="G696" s="9" t="n">
        <f aca="false">DATE(2000+VALUE(MID(F696,7,2)),VALUE(MID(F696,4,2)),VALUE(LEFT(F696,2)))</f>
        <v>45562</v>
      </c>
      <c r="H696" s="8" t="s">
        <v>2532</v>
      </c>
      <c r="I696" s="9" t="n">
        <f aca="false">DATE(2000+VALUE(MID(H696,7,2)),VALUE(MID(H696,4,2)),VALUE(LEFT(H696,2)))</f>
        <v>45563</v>
      </c>
      <c r="J696" s="9"/>
      <c r="K696" s="10" t="n">
        <v>712080</v>
      </c>
      <c r="L696" s="10" t="n">
        <v>0</v>
      </c>
      <c r="M696" s="10" t="n">
        <v>712080</v>
      </c>
      <c r="N696" s="10" t="n">
        <v>0</v>
      </c>
      <c r="O696" s="10" t="n">
        <v>0</v>
      </c>
      <c r="P696" s="10" t="n">
        <v>0</v>
      </c>
      <c r="Q696" s="10" t="n">
        <v>712080</v>
      </c>
      <c r="R696" s="10" t="n">
        <v>0</v>
      </c>
      <c r="S696" s="10" t="n">
        <v>0</v>
      </c>
      <c r="T696" s="7"/>
      <c r="U696" s="7"/>
      <c r="V696" s="7"/>
      <c r="W696" s="7" t="s">
        <v>49</v>
      </c>
      <c r="X696" s="7"/>
      <c r="Y696" s="7" t="s">
        <v>37</v>
      </c>
      <c r="Z696" s="7" t="s">
        <v>2533</v>
      </c>
      <c r="AA696" s="7" t="s">
        <v>2534</v>
      </c>
      <c r="AB696" s="10" t="n">
        <v>712080</v>
      </c>
      <c r="AC696" s="10" t="n">
        <v>1</v>
      </c>
    </row>
    <row r="697" customFormat="false" ht="15.75" hidden="true" customHeight="true" outlineLevel="0" collapsed="false">
      <c r="A697" s="6"/>
      <c r="B697" s="7" t="s">
        <v>2101</v>
      </c>
      <c r="C697" s="7" t="s">
        <v>60</v>
      </c>
      <c r="D697" s="7" t="s">
        <v>61</v>
      </c>
      <c r="E697" s="7" t="s">
        <v>2535</v>
      </c>
      <c r="F697" s="8" t="s">
        <v>2536</v>
      </c>
      <c r="G697" s="9" t="n">
        <f aca="false">DATE(2000+VALUE(MID(F697,7,2)),VALUE(MID(F697,4,2)),VALUE(LEFT(F697,2)))</f>
        <v>45562</v>
      </c>
      <c r="H697" s="8" t="s">
        <v>2532</v>
      </c>
      <c r="I697" s="9" t="n">
        <f aca="false">DATE(2000+VALUE(MID(H697,7,2)),VALUE(MID(H697,4,2)),VALUE(LEFT(H697,2)))</f>
        <v>45563</v>
      </c>
      <c r="J697" s="9"/>
      <c r="K697" s="10" t="n">
        <v>712080</v>
      </c>
      <c r="L697" s="10" t="n">
        <v>0</v>
      </c>
      <c r="M697" s="10" t="n">
        <v>712080</v>
      </c>
      <c r="N697" s="10" t="n">
        <v>0</v>
      </c>
      <c r="O697" s="10" t="n">
        <v>0</v>
      </c>
      <c r="P697" s="10" t="n">
        <v>0</v>
      </c>
      <c r="Q697" s="10" t="n">
        <v>0</v>
      </c>
      <c r="R697" s="10" t="n">
        <v>712080</v>
      </c>
      <c r="S697" s="10" t="n">
        <v>0</v>
      </c>
      <c r="T697" s="7"/>
      <c r="U697" s="7"/>
      <c r="V697" s="7"/>
      <c r="W697" s="7" t="s">
        <v>49</v>
      </c>
      <c r="X697" s="7"/>
      <c r="Y697" s="7" t="s">
        <v>37</v>
      </c>
      <c r="Z697" s="7" t="s">
        <v>2537</v>
      </c>
      <c r="AA697" s="7" t="s">
        <v>2538</v>
      </c>
      <c r="AB697" s="10" t="n">
        <v>712080</v>
      </c>
      <c r="AC697" s="10" t="n">
        <v>1</v>
      </c>
    </row>
    <row r="698" customFormat="false" ht="15.75" hidden="true" customHeight="true" outlineLevel="0" collapsed="false">
      <c r="A698" s="6"/>
      <c r="B698" s="7" t="s">
        <v>2101</v>
      </c>
      <c r="C698" s="7" t="s">
        <v>60</v>
      </c>
      <c r="D698" s="7" t="s">
        <v>164</v>
      </c>
      <c r="E698" s="7" t="s">
        <v>2539</v>
      </c>
      <c r="F698" s="8" t="s">
        <v>2536</v>
      </c>
      <c r="G698" s="9" t="n">
        <f aca="false">DATE(2000+VALUE(MID(F698,7,2)),VALUE(MID(F698,4,2)),VALUE(LEFT(F698,2)))</f>
        <v>45562</v>
      </c>
      <c r="H698" s="8" t="s">
        <v>2532</v>
      </c>
      <c r="I698" s="9" t="n">
        <f aca="false">DATE(2000+VALUE(MID(H698,7,2)),VALUE(MID(H698,4,2)),VALUE(LEFT(H698,2)))</f>
        <v>45563</v>
      </c>
      <c r="J698" s="9"/>
      <c r="K698" s="10" t="n">
        <v>712080</v>
      </c>
      <c r="L698" s="10" t="n">
        <v>0</v>
      </c>
      <c r="M698" s="10" t="n">
        <v>712080</v>
      </c>
      <c r="N698" s="10" t="n">
        <v>0</v>
      </c>
      <c r="O698" s="10" t="n">
        <v>0</v>
      </c>
      <c r="P698" s="10" t="n">
        <v>0</v>
      </c>
      <c r="Q698" s="10" t="n">
        <v>0</v>
      </c>
      <c r="R698" s="10" t="n">
        <v>712080</v>
      </c>
      <c r="S698" s="10" t="n">
        <v>0</v>
      </c>
      <c r="T698" s="7"/>
      <c r="U698" s="7"/>
      <c r="V698" s="7"/>
      <c r="W698" s="7" t="s">
        <v>49</v>
      </c>
      <c r="X698" s="7"/>
      <c r="Y698" s="7" t="s">
        <v>37</v>
      </c>
      <c r="Z698" s="7" t="s">
        <v>2540</v>
      </c>
      <c r="AA698" s="7" t="s">
        <v>2538</v>
      </c>
      <c r="AB698" s="10" t="n">
        <v>712080</v>
      </c>
      <c r="AC698" s="10" t="n">
        <v>1</v>
      </c>
    </row>
    <row r="699" customFormat="false" ht="15.75" hidden="true" customHeight="true" outlineLevel="0" collapsed="false">
      <c r="A699" s="6"/>
      <c r="B699" s="7" t="s">
        <v>2126</v>
      </c>
      <c r="C699" s="7" t="s">
        <v>60</v>
      </c>
      <c r="D699" s="7" t="s">
        <v>116</v>
      </c>
      <c r="E699" s="7" t="s">
        <v>2541</v>
      </c>
      <c r="F699" s="8" t="s">
        <v>2542</v>
      </c>
      <c r="G699" s="9" t="n">
        <f aca="false">DATE(2000+VALUE(MID(F699,7,2)),VALUE(MID(F699,4,2)),VALUE(LEFT(F699,2)))</f>
        <v>45561</v>
      </c>
      <c r="H699" s="8" t="s">
        <v>2532</v>
      </c>
      <c r="I699" s="9" t="n">
        <f aca="false">DATE(2000+VALUE(MID(H699,7,2)),VALUE(MID(H699,4,2)),VALUE(LEFT(H699,2)))</f>
        <v>45563</v>
      </c>
      <c r="J699" s="9"/>
      <c r="K699" s="10" t="n">
        <v>1082142</v>
      </c>
      <c r="L699" s="10" t="n">
        <v>56000</v>
      </c>
      <c r="M699" s="10" t="n">
        <v>1138142</v>
      </c>
      <c r="N699" s="10" t="n">
        <v>0</v>
      </c>
      <c r="O699" s="10" t="n">
        <v>0</v>
      </c>
      <c r="P699" s="10" t="n">
        <v>0</v>
      </c>
      <c r="Q699" s="10" t="n">
        <v>0</v>
      </c>
      <c r="R699" s="10" t="n">
        <v>1138142</v>
      </c>
      <c r="S699" s="10" t="n">
        <v>0</v>
      </c>
      <c r="T699" s="7"/>
      <c r="U699" s="7"/>
      <c r="V699" s="7"/>
      <c r="W699" s="7" t="s">
        <v>49</v>
      </c>
      <c r="X699" s="7"/>
      <c r="Y699" s="7" t="s">
        <v>37</v>
      </c>
      <c r="Z699" s="7" t="s">
        <v>2543</v>
      </c>
      <c r="AA699" s="7" t="s">
        <v>2544</v>
      </c>
      <c r="AB699" s="10" t="n">
        <v>541071</v>
      </c>
      <c r="AC699" s="10" t="n">
        <v>2</v>
      </c>
    </row>
    <row r="700" customFormat="false" ht="15.75" hidden="true" customHeight="true" outlineLevel="0" collapsed="false">
      <c r="A700" s="6"/>
      <c r="B700" s="7" t="s">
        <v>2182</v>
      </c>
      <c r="C700" s="7" t="s">
        <v>65</v>
      </c>
      <c r="D700" s="7" t="s">
        <v>82</v>
      </c>
      <c r="E700" s="7" t="s">
        <v>2545</v>
      </c>
      <c r="F700" s="8" t="s">
        <v>2546</v>
      </c>
      <c r="G700" s="9" t="n">
        <f aca="false">DATE(2000+VALUE(MID(F700,7,2)),VALUE(MID(F700,4,2)),VALUE(LEFT(F700,2)))</f>
        <v>45562</v>
      </c>
      <c r="H700" s="8" t="s">
        <v>2532</v>
      </c>
      <c r="I700" s="9" t="n">
        <f aca="false">DATE(2000+VALUE(MID(H700,7,2)),VALUE(MID(H700,4,2)),VALUE(LEFT(H700,2)))</f>
        <v>45563</v>
      </c>
      <c r="J700" s="9"/>
      <c r="K700" s="10" t="n">
        <v>608828</v>
      </c>
      <c r="L700" s="10" t="n">
        <v>0</v>
      </c>
      <c r="M700" s="10" t="n">
        <v>608828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608828</v>
      </c>
      <c r="S700" s="10" t="n">
        <v>0</v>
      </c>
      <c r="T700" s="7"/>
      <c r="U700" s="7"/>
      <c r="V700" s="7"/>
      <c r="W700" s="7" t="s">
        <v>49</v>
      </c>
      <c r="X700" s="7"/>
      <c r="Y700" s="7" t="s">
        <v>37</v>
      </c>
      <c r="Z700" s="7" t="s">
        <v>2547</v>
      </c>
      <c r="AA700" s="7" t="s">
        <v>2548</v>
      </c>
      <c r="AB700" s="10" t="n">
        <v>608828</v>
      </c>
      <c r="AC700" s="10" t="n">
        <v>1</v>
      </c>
    </row>
    <row r="701" customFormat="false" ht="15.75" hidden="true" customHeight="true" outlineLevel="0" collapsed="false">
      <c r="A701" s="6"/>
      <c r="B701" s="7" t="s">
        <v>2165</v>
      </c>
      <c r="C701" s="7" t="s">
        <v>31</v>
      </c>
      <c r="D701" s="7" t="s">
        <v>39</v>
      </c>
      <c r="E701" s="7" t="s">
        <v>2549</v>
      </c>
      <c r="F701" s="8" t="s">
        <v>2550</v>
      </c>
      <c r="G701" s="9" t="n">
        <f aca="false">DATE(2000+VALUE(MID(F701,7,2)),VALUE(MID(F701,4,2)),VALUE(LEFT(F701,2)))</f>
        <v>45563</v>
      </c>
      <c r="H701" s="8" t="s">
        <v>2532</v>
      </c>
      <c r="I701" s="9" t="n">
        <f aca="false">DATE(2000+VALUE(MID(H701,7,2)),VALUE(MID(H701,4,2)),VALUE(LEFT(H701,2)))</f>
        <v>45563</v>
      </c>
      <c r="J701" s="9"/>
      <c r="K701" s="10" t="n">
        <v>630000</v>
      </c>
      <c r="L701" s="10" t="n">
        <v>0</v>
      </c>
      <c r="M701" s="10" t="n">
        <v>630000</v>
      </c>
      <c r="N701" s="10" t="n">
        <v>0</v>
      </c>
      <c r="O701" s="10" t="n">
        <v>0</v>
      </c>
      <c r="P701" s="10" t="n">
        <v>0</v>
      </c>
      <c r="Q701" s="10" t="n">
        <v>630000</v>
      </c>
      <c r="R701" s="10" t="n">
        <v>0</v>
      </c>
      <c r="S701" s="10" t="n">
        <v>0</v>
      </c>
      <c r="T701" s="7"/>
      <c r="U701" s="7"/>
      <c r="V701" s="7"/>
      <c r="W701" s="7" t="s">
        <v>43</v>
      </c>
      <c r="X701" s="7"/>
      <c r="Y701" s="7" t="s">
        <v>37</v>
      </c>
      <c r="Z701" s="7" t="s">
        <v>2551</v>
      </c>
      <c r="AA701" s="7"/>
      <c r="AB701" s="10" t="n">
        <v>630000</v>
      </c>
      <c r="AC701" s="10" t="n">
        <v>1</v>
      </c>
    </row>
    <row r="702" customFormat="false" ht="15.75" hidden="true" customHeight="true" outlineLevel="0" collapsed="false">
      <c r="A702" s="6"/>
      <c r="B702" s="7" t="s">
        <v>2111</v>
      </c>
      <c r="C702" s="7" t="s">
        <v>65</v>
      </c>
      <c r="D702" s="7" t="s">
        <v>87</v>
      </c>
      <c r="E702" s="7" t="s">
        <v>2552</v>
      </c>
      <c r="F702" s="8" t="s">
        <v>2553</v>
      </c>
      <c r="G702" s="9" t="n">
        <f aca="false">DATE(2000+VALUE(MID(F702,7,2)),VALUE(MID(F702,4,2)),VALUE(LEFT(F702,2)))</f>
        <v>45563</v>
      </c>
      <c r="H702" s="8" t="s">
        <v>2554</v>
      </c>
      <c r="I702" s="9" t="n">
        <f aca="false">DATE(2000+VALUE(MID(H702,7,2)),VALUE(MID(H702,4,2)),VALUE(LEFT(H702,2)))</f>
        <v>45564</v>
      </c>
      <c r="J702" s="9"/>
      <c r="K702" s="10" t="n">
        <v>584000</v>
      </c>
      <c r="L702" s="10" t="n">
        <v>0</v>
      </c>
      <c r="M702" s="10" t="n">
        <v>525600</v>
      </c>
      <c r="N702" s="10" t="n">
        <v>0</v>
      </c>
      <c r="O702" s="10" t="n">
        <v>0</v>
      </c>
      <c r="P702" s="10" t="n">
        <v>0</v>
      </c>
      <c r="Q702" s="10" t="n">
        <v>525600</v>
      </c>
      <c r="R702" s="10" t="n">
        <v>0</v>
      </c>
      <c r="S702" s="10" t="n">
        <v>0</v>
      </c>
      <c r="T702" s="7"/>
      <c r="U702" s="7"/>
      <c r="V702" s="7"/>
      <c r="W702" s="7" t="s">
        <v>43</v>
      </c>
      <c r="X702" s="7"/>
      <c r="Y702" s="7" t="s">
        <v>37</v>
      </c>
      <c r="Z702" s="7" t="s">
        <v>2555</v>
      </c>
      <c r="AA702" s="7" t="s">
        <v>2556</v>
      </c>
      <c r="AB702" s="10" t="n">
        <v>584000</v>
      </c>
      <c r="AC702" s="10" t="n">
        <v>1</v>
      </c>
    </row>
    <row r="703" customFormat="false" ht="15.75" hidden="true" customHeight="true" outlineLevel="0" collapsed="false">
      <c r="A703" s="6"/>
      <c r="B703" s="7" t="s">
        <v>2144</v>
      </c>
      <c r="C703" s="7" t="s">
        <v>65</v>
      </c>
      <c r="D703" s="7" t="s">
        <v>66</v>
      </c>
      <c r="E703" s="7" t="s">
        <v>2557</v>
      </c>
      <c r="F703" s="8" t="s">
        <v>2558</v>
      </c>
      <c r="G703" s="9" t="n">
        <f aca="false">DATE(2000+VALUE(MID(F703,7,2)),VALUE(MID(F703,4,2)),VALUE(LEFT(F703,2)))</f>
        <v>45562</v>
      </c>
      <c r="H703" s="8" t="s">
        <v>2554</v>
      </c>
      <c r="I703" s="9" t="n">
        <f aca="false">DATE(2000+VALUE(MID(H703,7,2)),VALUE(MID(H703,4,2)),VALUE(LEFT(H703,2)))</f>
        <v>45564</v>
      </c>
      <c r="J703" s="9"/>
      <c r="K703" s="10" t="n">
        <v>1160000</v>
      </c>
      <c r="L703" s="10" t="n">
        <v>0</v>
      </c>
      <c r="M703" s="10" t="n">
        <v>1160000</v>
      </c>
      <c r="N703" s="10" t="n">
        <v>0</v>
      </c>
      <c r="O703" s="10" t="n">
        <v>1160000</v>
      </c>
      <c r="P703" s="10" t="n">
        <v>0</v>
      </c>
      <c r="Q703" s="10" t="n">
        <v>0</v>
      </c>
      <c r="R703" s="10" t="n">
        <v>0</v>
      </c>
      <c r="S703" s="10" t="n">
        <v>0</v>
      </c>
      <c r="T703" s="7"/>
      <c r="U703" s="7"/>
      <c r="V703" s="7"/>
      <c r="W703" s="7" t="s">
        <v>43</v>
      </c>
      <c r="X703" s="7"/>
      <c r="Y703" s="7" t="s">
        <v>37</v>
      </c>
      <c r="Z703" s="7" t="s">
        <v>2559</v>
      </c>
      <c r="AA703" s="7"/>
      <c r="AB703" s="10" t="n">
        <v>580000</v>
      </c>
      <c r="AC703" s="10" t="n">
        <v>2</v>
      </c>
    </row>
    <row r="704" customFormat="false" ht="15.75" hidden="true" customHeight="true" outlineLevel="0" collapsed="false">
      <c r="A704" s="6"/>
      <c r="B704" s="7" t="s">
        <v>2210</v>
      </c>
      <c r="C704" s="7" t="s">
        <v>31</v>
      </c>
      <c r="D704" s="7" t="s">
        <v>39</v>
      </c>
      <c r="E704" s="7" t="s">
        <v>2560</v>
      </c>
      <c r="F704" s="8" t="s">
        <v>2561</v>
      </c>
      <c r="G704" s="9" t="n">
        <f aca="false">DATE(2000+VALUE(MID(F704,7,2)),VALUE(MID(F704,4,2)),VALUE(LEFT(F704,2)))</f>
        <v>45563</v>
      </c>
      <c r="H704" s="8" t="s">
        <v>2554</v>
      </c>
      <c r="I704" s="9" t="n">
        <f aca="false">DATE(2000+VALUE(MID(H704,7,2)),VALUE(MID(H704,4,2)),VALUE(LEFT(H704,2)))</f>
        <v>45564</v>
      </c>
      <c r="J704" s="9"/>
      <c r="K704" s="10" t="n">
        <v>1139760</v>
      </c>
      <c r="L704" s="10" t="n">
        <v>0</v>
      </c>
      <c r="M704" s="10" t="n">
        <v>1139760</v>
      </c>
      <c r="N704" s="10" t="n">
        <v>0</v>
      </c>
      <c r="O704" s="10" t="n">
        <v>0</v>
      </c>
      <c r="P704" s="10" t="n">
        <v>0</v>
      </c>
      <c r="Q704" s="10" t="n">
        <v>1139760</v>
      </c>
      <c r="R704" s="10" t="n">
        <v>0</v>
      </c>
      <c r="S704" s="10" t="n">
        <v>0</v>
      </c>
      <c r="T704" s="7"/>
      <c r="U704" s="7"/>
      <c r="V704" s="7"/>
      <c r="W704" s="7" t="s">
        <v>49</v>
      </c>
      <c r="X704" s="7"/>
      <c r="Y704" s="7" t="s">
        <v>37</v>
      </c>
      <c r="Z704" s="7" t="s">
        <v>2562</v>
      </c>
      <c r="AA704" s="7" t="s">
        <v>2563</v>
      </c>
      <c r="AB704" s="10" t="n">
        <v>1139760</v>
      </c>
      <c r="AC704" s="10" t="n">
        <v>1</v>
      </c>
    </row>
    <row r="705" customFormat="false" ht="15.75" hidden="true" customHeight="true" outlineLevel="0" collapsed="false">
      <c r="A705" s="6"/>
      <c r="B705" s="7" t="s">
        <v>2252</v>
      </c>
      <c r="C705" s="7" t="s">
        <v>65</v>
      </c>
      <c r="D705" s="7" t="s">
        <v>96</v>
      </c>
      <c r="E705" s="7" t="s">
        <v>2564</v>
      </c>
      <c r="F705" s="8" t="s">
        <v>2565</v>
      </c>
      <c r="G705" s="9" t="n">
        <f aca="false">DATE(2000+VALUE(MID(F705,7,2)),VALUE(MID(F705,4,2)),VALUE(LEFT(F705,2)))</f>
        <v>45562</v>
      </c>
      <c r="H705" s="8" t="s">
        <v>2566</v>
      </c>
      <c r="I705" s="9" t="n">
        <f aca="false">DATE(2000+VALUE(MID(H705,7,2)),VALUE(MID(H705,4,2)),VALUE(LEFT(H705,2)))</f>
        <v>45564</v>
      </c>
      <c r="J705" s="9"/>
      <c r="K705" s="10" t="n">
        <v>1217656</v>
      </c>
      <c r="L705" s="10" t="n">
        <v>0</v>
      </c>
      <c r="M705" s="10" t="n">
        <v>1217656</v>
      </c>
      <c r="N705" s="10" t="n">
        <v>0</v>
      </c>
      <c r="O705" s="10" t="n">
        <v>1217656</v>
      </c>
      <c r="P705" s="10" t="n">
        <v>0</v>
      </c>
      <c r="Q705" s="10" t="n">
        <v>0</v>
      </c>
      <c r="R705" s="10" t="n">
        <v>0</v>
      </c>
      <c r="S705" s="10" t="n">
        <v>0</v>
      </c>
      <c r="T705" s="7"/>
      <c r="U705" s="7"/>
      <c r="V705" s="7"/>
      <c r="W705" s="7" t="s">
        <v>49</v>
      </c>
      <c r="X705" s="7"/>
      <c r="Y705" s="7" t="s">
        <v>37</v>
      </c>
      <c r="Z705" s="7" t="s">
        <v>2567</v>
      </c>
      <c r="AA705" s="7" t="s">
        <v>2568</v>
      </c>
      <c r="AB705" s="10" t="n">
        <v>608828</v>
      </c>
      <c r="AC705" s="10" t="n">
        <v>2</v>
      </c>
    </row>
    <row r="706" customFormat="false" ht="15.75" hidden="true" customHeight="true" outlineLevel="0" collapsed="false">
      <c r="A706" s="6"/>
      <c r="B706" s="7" t="s">
        <v>2194</v>
      </c>
      <c r="C706" s="7" t="s">
        <v>31</v>
      </c>
      <c r="D706" s="7" t="s">
        <v>32</v>
      </c>
      <c r="E706" s="7" t="s">
        <v>2569</v>
      </c>
      <c r="F706" s="8" t="s">
        <v>2561</v>
      </c>
      <c r="G706" s="9" t="n">
        <f aca="false">DATE(2000+VALUE(MID(F706,7,2)),VALUE(MID(F706,4,2)),VALUE(LEFT(F706,2)))</f>
        <v>45563</v>
      </c>
      <c r="H706" s="8" t="s">
        <v>2570</v>
      </c>
      <c r="I706" s="9" t="n">
        <f aca="false">DATE(2000+VALUE(MID(H706,7,2)),VALUE(MID(H706,4,2)),VALUE(LEFT(H706,2)))</f>
        <v>45564</v>
      </c>
      <c r="J706" s="9"/>
      <c r="K706" s="10" t="n">
        <v>720000</v>
      </c>
      <c r="L706" s="10" t="n">
        <v>0</v>
      </c>
      <c r="M706" s="10" t="n">
        <v>720000</v>
      </c>
      <c r="N706" s="10" t="n">
        <v>0</v>
      </c>
      <c r="O706" s="10" t="n">
        <v>0</v>
      </c>
      <c r="P706" s="10" t="n">
        <v>0</v>
      </c>
      <c r="Q706" s="10" t="n">
        <v>720000</v>
      </c>
      <c r="R706" s="10" t="n">
        <v>0</v>
      </c>
      <c r="S706" s="10" t="n">
        <v>0</v>
      </c>
      <c r="T706" s="7"/>
      <c r="U706" s="7"/>
      <c r="V706" s="7"/>
      <c r="W706" s="7" t="s">
        <v>43</v>
      </c>
      <c r="X706" s="7"/>
      <c r="Y706" s="7" t="s">
        <v>37</v>
      </c>
      <c r="Z706" s="7" t="s">
        <v>2571</v>
      </c>
      <c r="AA706" s="7"/>
      <c r="AB706" s="10" t="n">
        <v>720000</v>
      </c>
      <c r="AC706" s="10" t="n">
        <v>1</v>
      </c>
    </row>
    <row r="707" customFormat="false" ht="15.75" hidden="true" customHeight="true" outlineLevel="0" collapsed="false">
      <c r="A707" s="6"/>
      <c r="B707" s="7" t="s">
        <v>2269</v>
      </c>
      <c r="C707" s="7" t="s">
        <v>31</v>
      </c>
      <c r="D707" s="7" t="s">
        <v>105</v>
      </c>
      <c r="E707" s="7" t="s">
        <v>2572</v>
      </c>
      <c r="F707" s="8" t="s">
        <v>2573</v>
      </c>
      <c r="G707" s="9" t="n">
        <f aca="false">DATE(2000+VALUE(MID(F707,7,2)),VALUE(MID(F707,4,2)),VALUE(LEFT(F707,2)))</f>
        <v>45562</v>
      </c>
      <c r="H707" s="8" t="s">
        <v>2574</v>
      </c>
      <c r="I707" s="9" t="n">
        <f aca="false">DATE(2000+VALUE(MID(H707,7,2)),VALUE(MID(H707,4,2)),VALUE(LEFT(H707,2)))</f>
        <v>45564</v>
      </c>
      <c r="J707" s="9"/>
      <c r="K707" s="10" t="n">
        <v>1600000</v>
      </c>
      <c r="L707" s="10" t="n">
        <v>0</v>
      </c>
      <c r="M707" s="10" t="n">
        <v>1600000</v>
      </c>
      <c r="N707" s="10" t="n">
        <v>0</v>
      </c>
      <c r="O707" s="10" t="n">
        <v>1600000</v>
      </c>
      <c r="P707" s="10" t="n">
        <v>0</v>
      </c>
      <c r="Q707" s="10" t="n">
        <v>0</v>
      </c>
      <c r="R707" s="10" t="n">
        <v>0</v>
      </c>
      <c r="S707" s="10" t="n">
        <v>0</v>
      </c>
      <c r="T707" s="7"/>
      <c r="U707" s="7"/>
      <c r="V707" s="7"/>
      <c r="W707" s="7" t="s">
        <v>43</v>
      </c>
      <c r="X707" s="7"/>
      <c r="Y707" s="7" t="s">
        <v>37</v>
      </c>
      <c r="Z707" s="7" t="s">
        <v>2575</v>
      </c>
      <c r="AA707" s="7"/>
      <c r="AB707" s="10" t="n">
        <v>800000</v>
      </c>
      <c r="AC707" s="10" t="n">
        <v>2</v>
      </c>
    </row>
    <row r="708" customFormat="false" ht="15.75" hidden="true" customHeight="true" outlineLevel="0" collapsed="false">
      <c r="A708" s="6"/>
      <c r="B708" s="7" t="s">
        <v>2200</v>
      </c>
      <c r="C708" s="7" t="s">
        <v>60</v>
      </c>
      <c r="D708" s="7" t="s">
        <v>173</v>
      </c>
      <c r="E708" s="7" t="s">
        <v>2576</v>
      </c>
      <c r="F708" s="8" t="s">
        <v>2577</v>
      </c>
      <c r="G708" s="9" t="n">
        <f aca="false">DATE(2000+VALUE(MID(F708,7,2)),VALUE(MID(F708,4,2)),VALUE(LEFT(F708,2)))</f>
        <v>45562</v>
      </c>
      <c r="H708" s="8" t="s">
        <v>2574</v>
      </c>
      <c r="I708" s="9" t="n">
        <f aca="false">DATE(2000+VALUE(MID(H708,7,2)),VALUE(MID(H708,4,2)),VALUE(LEFT(H708,2)))</f>
        <v>45564</v>
      </c>
      <c r="J708" s="9"/>
      <c r="K708" s="10" t="n">
        <v>1168000</v>
      </c>
      <c r="L708" s="10" t="n">
        <v>0</v>
      </c>
      <c r="M708" s="10" t="n">
        <v>1168000</v>
      </c>
      <c r="N708" s="10" t="n">
        <v>0</v>
      </c>
      <c r="O708" s="10" t="n">
        <v>0</v>
      </c>
      <c r="P708" s="10" t="n">
        <v>0</v>
      </c>
      <c r="Q708" s="10" t="n">
        <v>1168000</v>
      </c>
      <c r="R708" s="10" t="n">
        <v>0</v>
      </c>
      <c r="S708" s="10" t="n">
        <v>0</v>
      </c>
      <c r="T708" s="7"/>
      <c r="U708" s="7"/>
      <c r="V708" s="7"/>
      <c r="W708" s="7" t="s">
        <v>43</v>
      </c>
      <c r="X708" s="7"/>
      <c r="Y708" s="7" t="s">
        <v>37</v>
      </c>
      <c r="Z708" s="7" t="s">
        <v>2578</v>
      </c>
      <c r="AA708" s="7"/>
      <c r="AB708" s="10" t="n">
        <v>584000</v>
      </c>
      <c r="AC708" s="10" t="n">
        <v>2</v>
      </c>
    </row>
    <row r="709" customFormat="false" ht="15.75" hidden="true" customHeight="true" outlineLevel="0" collapsed="false">
      <c r="A709" s="6"/>
      <c r="B709" s="7" t="s">
        <v>2161</v>
      </c>
      <c r="C709" s="7" t="s">
        <v>65</v>
      </c>
      <c r="D709" s="7" t="s">
        <v>82</v>
      </c>
      <c r="E709" s="7" t="s">
        <v>2579</v>
      </c>
      <c r="F709" s="8" t="s">
        <v>2580</v>
      </c>
      <c r="G709" s="9" t="n">
        <f aca="false">DATE(2000+VALUE(MID(F709,7,2)),VALUE(MID(F709,4,2)),VALUE(LEFT(F709,2)))</f>
        <v>45563</v>
      </c>
      <c r="H709" s="8" t="s">
        <v>2574</v>
      </c>
      <c r="I709" s="9" t="n">
        <f aca="false">DATE(2000+VALUE(MID(H709,7,2)),VALUE(MID(H709,4,2)),VALUE(LEFT(H709,2)))</f>
        <v>45564</v>
      </c>
      <c r="J709" s="9"/>
      <c r="K709" s="10" t="n">
        <v>502357</v>
      </c>
      <c r="L709" s="10" t="n">
        <v>0</v>
      </c>
      <c r="M709" s="10" t="n">
        <v>502357</v>
      </c>
      <c r="N709" s="10" t="n">
        <v>0</v>
      </c>
      <c r="O709" s="10" t="n">
        <v>0</v>
      </c>
      <c r="P709" s="10" t="n">
        <v>0</v>
      </c>
      <c r="Q709" s="10" t="n">
        <v>0</v>
      </c>
      <c r="R709" s="10" t="n">
        <v>502357</v>
      </c>
      <c r="S709" s="10" t="n">
        <v>0</v>
      </c>
      <c r="T709" s="7"/>
      <c r="U709" s="7"/>
      <c r="V709" s="7"/>
      <c r="W709" s="7" t="s">
        <v>49</v>
      </c>
      <c r="X709" s="7"/>
      <c r="Y709" s="7" t="s">
        <v>37</v>
      </c>
      <c r="Z709" s="7" t="s">
        <v>2581</v>
      </c>
      <c r="AA709" s="7" t="s">
        <v>2582</v>
      </c>
      <c r="AB709" s="10" t="n">
        <v>502357</v>
      </c>
      <c r="AC709" s="10" t="n">
        <v>1</v>
      </c>
    </row>
    <row r="710" customFormat="false" ht="15.75" hidden="true" customHeight="true" outlineLevel="0" collapsed="false">
      <c r="A710" s="6"/>
      <c r="B710" s="7" t="s">
        <v>2583</v>
      </c>
      <c r="C710" s="7" t="s">
        <v>60</v>
      </c>
      <c r="D710" s="7" t="s">
        <v>164</v>
      </c>
      <c r="E710" s="7" t="s">
        <v>2584</v>
      </c>
      <c r="F710" s="8" t="s">
        <v>2585</v>
      </c>
      <c r="G710" s="9" t="n">
        <f aca="false">DATE(2000+VALUE(MID(F710,7,2)),VALUE(MID(F710,4,2)),VALUE(LEFT(F710,2)))</f>
        <v>45563</v>
      </c>
      <c r="H710" s="8" t="s">
        <v>2574</v>
      </c>
      <c r="I710" s="9" t="n">
        <f aca="false">DATE(2000+VALUE(MID(H710,7,2)),VALUE(MID(H710,4,2)),VALUE(LEFT(H710,2)))</f>
        <v>45564</v>
      </c>
      <c r="J710" s="9"/>
      <c r="K710" s="10" t="n">
        <v>606528</v>
      </c>
      <c r="L710" s="10" t="n">
        <v>0</v>
      </c>
      <c r="M710" s="10" t="n">
        <v>606528</v>
      </c>
      <c r="N710" s="10" t="n">
        <v>0</v>
      </c>
      <c r="O710" s="10" t="n">
        <v>0</v>
      </c>
      <c r="P710" s="10" t="n">
        <v>0</v>
      </c>
      <c r="Q710" s="10" t="n">
        <v>0</v>
      </c>
      <c r="R710" s="10" t="n">
        <v>606528</v>
      </c>
      <c r="S710" s="10" t="n">
        <v>0</v>
      </c>
      <c r="T710" s="7"/>
      <c r="U710" s="7"/>
      <c r="V710" s="7"/>
      <c r="W710" s="7" t="s">
        <v>49</v>
      </c>
      <c r="X710" s="7"/>
      <c r="Y710" s="7" t="s">
        <v>37</v>
      </c>
      <c r="Z710" s="7" t="s">
        <v>2586</v>
      </c>
      <c r="AA710" s="7" t="s">
        <v>2587</v>
      </c>
      <c r="AB710" s="10" t="n">
        <v>606528</v>
      </c>
      <c r="AC710" s="10" t="n">
        <v>1</v>
      </c>
    </row>
    <row r="711" customFormat="false" ht="15.75" hidden="true" customHeight="true" outlineLevel="0" collapsed="false">
      <c r="A711" s="6"/>
      <c r="B711" s="7" t="s">
        <v>2233</v>
      </c>
      <c r="C711" s="7" t="s">
        <v>71</v>
      </c>
      <c r="D711" s="7" t="s">
        <v>92</v>
      </c>
      <c r="E711" s="7" t="s">
        <v>2588</v>
      </c>
      <c r="F711" s="8" t="s">
        <v>2589</v>
      </c>
      <c r="G711" s="9" t="n">
        <f aca="false">DATE(2000+VALUE(MID(F711,7,2)),VALUE(MID(F711,4,2)),VALUE(LEFT(F711,2)))</f>
        <v>45563</v>
      </c>
      <c r="H711" s="8" t="s">
        <v>2574</v>
      </c>
      <c r="I711" s="9" t="n">
        <f aca="false">DATE(2000+VALUE(MID(H711,7,2)),VALUE(MID(H711,4,2)),VALUE(LEFT(H711,2)))</f>
        <v>45564</v>
      </c>
      <c r="J711" s="9"/>
      <c r="K711" s="10" t="n">
        <v>659308</v>
      </c>
      <c r="L711" s="10" t="n">
        <v>0</v>
      </c>
      <c r="M711" s="10" t="n">
        <v>659308</v>
      </c>
      <c r="N711" s="10" t="n">
        <v>0</v>
      </c>
      <c r="O711" s="10" t="n">
        <v>0</v>
      </c>
      <c r="P711" s="10" t="n">
        <v>0</v>
      </c>
      <c r="Q711" s="10" t="n">
        <v>0</v>
      </c>
      <c r="R711" s="10" t="n">
        <v>659308</v>
      </c>
      <c r="S711" s="10" t="n">
        <v>0</v>
      </c>
      <c r="T711" s="7"/>
      <c r="U711" s="7"/>
      <c r="V711" s="7"/>
      <c r="W711" s="7" t="s">
        <v>222</v>
      </c>
      <c r="X711" s="7"/>
      <c r="Y711" s="7" t="s">
        <v>37</v>
      </c>
      <c r="Z711" s="7" t="s">
        <v>2590</v>
      </c>
      <c r="AA711" s="7"/>
      <c r="AB711" s="10" t="n">
        <v>659308</v>
      </c>
      <c r="AC711" s="10" t="n">
        <v>1</v>
      </c>
    </row>
    <row r="712" customFormat="false" ht="15.75" hidden="true" customHeight="true" outlineLevel="0" collapsed="false">
      <c r="A712" s="6"/>
      <c r="B712" s="7" t="s">
        <v>2114</v>
      </c>
      <c r="C712" s="7" t="s">
        <v>71</v>
      </c>
      <c r="D712" s="7" t="s">
        <v>72</v>
      </c>
      <c r="E712" s="7" t="s">
        <v>2591</v>
      </c>
      <c r="F712" s="8" t="s">
        <v>2592</v>
      </c>
      <c r="G712" s="9" t="n">
        <f aca="false">DATE(2000+VALUE(MID(F712,7,2)),VALUE(MID(F712,4,2)),VALUE(LEFT(F712,2)))</f>
        <v>45562</v>
      </c>
      <c r="H712" s="8" t="s">
        <v>2593</v>
      </c>
      <c r="I712" s="9" t="n">
        <f aca="false">DATE(2000+VALUE(MID(H712,7,2)),VALUE(MID(H712,4,2)),VALUE(LEFT(H712,2)))</f>
        <v>45564</v>
      </c>
      <c r="J712" s="9"/>
      <c r="K712" s="10" t="n">
        <v>1578528</v>
      </c>
      <c r="L712" s="10" t="n">
        <v>0</v>
      </c>
      <c r="M712" s="10" t="n">
        <v>1578528</v>
      </c>
      <c r="N712" s="10" t="n">
        <v>0</v>
      </c>
      <c r="O712" s="10" t="n">
        <v>1578528</v>
      </c>
      <c r="P712" s="10" t="n">
        <v>0</v>
      </c>
      <c r="Q712" s="10" t="n">
        <v>0</v>
      </c>
      <c r="R712" s="10" t="n">
        <v>0</v>
      </c>
      <c r="S712" s="10" t="n">
        <v>0</v>
      </c>
      <c r="T712" s="7"/>
      <c r="U712" s="7"/>
      <c r="V712" s="7"/>
      <c r="W712" s="7" t="s">
        <v>49</v>
      </c>
      <c r="X712" s="7"/>
      <c r="Y712" s="7" t="s">
        <v>37</v>
      </c>
      <c r="Z712" s="7" t="s">
        <v>2594</v>
      </c>
      <c r="AA712" s="7" t="s">
        <v>2595</v>
      </c>
      <c r="AB712" s="10" t="n">
        <v>789264</v>
      </c>
      <c r="AC712" s="10" t="n">
        <v>2</v>
      </c>
    </row>
    <row r="713" customFormat="false" ht="15.75" hidden="true" customHeight="true" outlineLevel="0" collapsed="false">
      <c r="A713" s="6"/>
      <c r="B713" s="7" t="s">
        <v>2154</v>
      </c>
      <c r="C713" s="7" t="s">
        <v>31</v>
      </c>
      <c r="D713" s="7" t="s">
        <v>361</v>
      </c>
      <c r="E713" s="7" t="s">
        <v>2596</v>
      </c>
      <c r="F713" s="8" t="s">
        <v>2597</v>
      </c>
      <c r="G713" s="9" t="n">
        <f aca="false">DATE(2000+VALUE(MID(F713,7,2)),VALUE(MID(F713,4,2)),VALUE(LEFT(F713,2)))</f>
        <v>45562</v>
      </c>
      <c r="H713" s="8" t="s">
        <v>2598</v>
      </c>
      <c r="I713" s="9" t="n">
        <f aca="false">DATE(2000+VALUE(MID(H713,7,2)),VALUE(MID(H713,4,2)),VALUE(LEFT(H713,2)))</f>
        <v>45565</v>
      </c>
      <c r="J713" s="9"/>
      <c r="K713" s="10" t="n">
        <v>2037390</v>
      </c>
      <c r="L713" s="10" t="n">
        <v>0</v>
      </c>
      <c r="M713" s="10" t="n">
        <v>2037390</v>
      </c>
      <c r="N713" s="10" t="n">
        <v>0</v>
      </c>
      <c r="O713" s="10" t="n">
        <v>300000</v>
      </c>
      <c r="P713" s="10" t="n">
        <v>0</v>
      </c>
      <c r="Q713" s="10" t="n">
        <v>1737390</v>
      </c>
      <c r="R713" s="10" t="n">
        <v>0</v>
      </c>
      <c r="S713" s="10" t="n">
        <v>0</v>
      </c>
      <c r="T713" s="7"/>
      <c r="U713" s="7"/>
      <c r="V713" s="7"/>
      <c r="W713" s="7" t="s">
        <v>43</v>
      </c>
      <c r="X713" s="7"/>
      <c r="Y713" s="7" t="s">
        <v>37</v>
      </c>
      <c r="Z713" s="7" t="s">
        <v>2599</v>
      </c>
      <c r="AA713" s="7"/>
      <c r="AB713" s="10" t="n">
        <v>679130</v>
      </c>
      <c r="AC713" s="10" t="n">
        <v>3</v>
      </c>
    </row>
    <row r="714" customFormat="false" ht="15.75" hidden="true" customHeight="true" outlineLevel="0" collapsed="false">
      <c r="A714" s="6"/>
      <c r="B714" s="7" t="s">
        <v>2131</v>
      </c>
      <c r="C714" s="7" t="s">
        <v>60</v>
      </c>
      <c r="D714" s="7" t="s">
        <v>116</v>
      </c>
      <c r="E714" s="7" t="s">
        <v>2600</v>
      </c>
      <c r="F714" s="8" t="s">
        <v>2601</v>
      </c>
      <c r="G714" s="9" t="n">
        <f aca="false">DATE(2000+VALUE(MID(F714,7,2)),VALUE(MID(F714,4,2)),VALUE(LEFT(F714,2)))</f>
        <v>45563</v>
      </c>
      <c r="H714" s="8" t="s">
        <v>2602</v>
      </c>
      <c r="I714" s="9" t="n">
        <f aca="false">DATE(2000+VALUE(MID(H714,7,2)),VALUE(MID(H714,4,2)),VALUE(LEFT(H714,2)))</f>
        <v>45565</v>
      </c>
      <c r="J714" s="9"/>
      <c r="K714" s="10" t="n">
        <v>1183248</v>
      </c>
      <c r="L714" s="10" t="n">
        <v>0</v>
      </c>
      <c r="M714" s="10" t="n">
        <v>1183248</v>
      </c>
      <c r="N714" s="10" t="n">
        <v>0</v>
      </c>
      <c r="O714" s="10" t="n">
        <v>0</v>
      </c>
      <c r="P714" s="10" t="n">
        <v>0</v>
      </c>
      <c r="Q714" s="10" t="n">
        <v>0</v>
      </c>
      <c r="R714" s="10" t="n">
        <v>1183248</v>
      </c>
      <c r="S714" s="10" t="n">
        <v>0</v>
      </c>
      <c r="T714" s="7"/>
      <c r="U714" s="7"/>
      <c r="V714" s="7"/>
      <c r="W714" s="7" t="s">
        <v>49</v>
      </c>
      <c r="X714" s="7"/>
      <c r="Y714" s="7" t="s">
        <v>37</v>
      </c>
      <c r="Z714" s="7" t="s">
        <v>2603</v>
      </c>
      <c r="AA714" s="7" t="s">
        <v>2604</v>
      </c>
      <c r="AB714" s="10" t="n">
        <v>591624</v>
      </c>
      <c r="AC714" s="10" t="n">
        <v>2</v>
      </c>
    </row>
    <row r="715" customFormat="false" ht="15.75" hidden="true" customHeight="true" outlineLevel="0" collapsed="false">
      <c r="A715" s="6"/>
      <c r="B715" s="7" t="s">
        <v>2103</v>
      </c>
      <c r="C715" s="7" t="s">
        <v>65</v>
      </c>
      <c r="D715" s="7" t="s">
        <v>76</v>
      </c>
      <c r="E715" s="7" t="s">
        <v>2605</v>
      </c>
      <c r="F715" s="8" t="s">
        <v>2606</v>
      </c>
      <c r="G715" s="9" t="n">
        <f aca="false">DATE(2000+VALUE(MID(F715,7,2)),VALUE(MID(F715,4,2)),VALUE(LEFT(F715,2)))</f>
        <v>45561</v>
      </c>
      <c r="H715" s="8" t="s">
        <v>2607</v>
      </c>
      <c r="I715" s="9" t="n">
        <f aca="false">DATE(2000+VALUE(MID(H715,7,2)),VALUE(MID(H715,4,2)),VALUE(LEFT(H715,2)))</f>
        <v>45565</v>
      </c>
      <c r="J715" s="9"/>
      <c r="K715" s="10" t="n">
        <v>2248170</v>
      </c>
      <c r="L715" s="10" t="n">
        <v>0</v>
      </c>
      <c r="M715" s="10" t="n">
        <v>2248170</v>
      </c>
      <c r="N715" s="10" t="n">
        <v>0</v>
      </c>
      <c r="O715" s="10" t="n">
        <v>0</v>
      </c>
      <c r="P715" s="10" t="n">
        <v>0</v>
      </c>
      <c r="Q715" s="10" t="n">
        <v>0</v>
      </c>
      <c r="R715" s="10" t="n">
        <v>2248170</v>
      </c>
      <c r="S715" s="10" t="n">
        <v>0</v>
      </c>
      <c r="T715" s="7"/>
      <c r="U715" s="7"/>
      <c r="V715" s="7"/>
      <c r="W715" s="7" t="s">
        <v>49</v>
      </c>
      <c r="X715" s="7"/>
      <c r="Y715" s="7" t="s">
        <v>37</v>
      </c>
      <c r="Z715" s="7" t="s">
        <v>2608</v>
      </c>
      <c r="AA715" s="7" t="s">
        <v>2609</v>
      </c>
      <c r="AB715" s="10" t="n">
        <v>562042.5</v>
      </c>
      <c r="AC715" s="10" t="n">
        <v>4</v>
      </c>
    </row>
    <row r="716" customFormat="false" ht="15.75" hidden="true" customHeight="true" outlineLevel="0" collapsed="false">
      <c r="A716" s="6"/>
      <c r="B716" s="7" t="s">
        <v>2217</v>
      </c>
      <c r="C716" s="7" t="s">
        <v>60</v>
      </c>
      <c r="D716" s="7" t="s">
        <v>61</v>
      </c>
      <c r="E716" s="7" t="s">
        <v>2610</v>
      </c>
      <c r="F716" s="8" t="s">
        <v>2561</v>
      </c>
      <c r="G716" s="9" t="n">
        <f aca="false">DATE(2000+VALUE(MID(F716,7,2)),VALUE(MID(F716,4,2)),VALUE(LEFT(F716,2)))</f>
        <v>45563</v>
      </c>
      <c r="H716" s="8" t="s">
        <v>2611</v>
      </c>
      <c r="I716" s="9" t="n">
        <f aca="false">DATE(2000+VALUE(MID(H716,7,2)),VALUE(MID(H716,4,2)),VALUE(LEFT(H716,2)))</f>
        <v>45565</v>
      </c>
      <c r="J716" s="9"/>
      <c r="K716" s="10" t="n">
        <v>1132000</v>
      </c>
      <c r="L716" s="10" t="n">
        <v>0</v>
      </c>
      <c r="M716" s="10" t="n">
        <v>1132000</v>
      </c>
      <c r="N716" s="10" t="n">
        <v>0</v>
      </c>
      <c r="O716" s="10" t="n">
        <v>0</v>
      </c>
      <c r="P716" s="10" t="n">
        <v>0</v>
      </c>
      <c r="Q716" s="10" t="n">
        <v>1132000</v>
      </c>
      <c r="R716" s="10" t="n">
        <v>0</v>
      </c>
      <c r="S716" s="10" t="n">
        <v>0</v>
      </c>
      <c r="T716" s="7"/>
      <c r="U716" s="7"/>
      <c r="V716" s="7"/>
      <c r="W716" s="7" t="s">
        <v>43</v>
      </c>
      <c r="X716" s="7"/>
      <c r="Y716" s="7" t="s">
        <v>37</v>
      </c>
      <c r="Z716" s="7" t="s">
        <v>2612</v>
      </c>
      <c r="AA716" s="7"/>
      <c r="AB716" s="10" t="n">
        <v>566000</v>
      </c>
      <c r="AC716" s="10" t="n">
        <v>2</v>
      </c>
    </row>
    <row r="717" customFormat="false" ht="15.75" hidden="true" customHeight="true" outlineLevel="0" collapsed="false">
      <c r="A717" s="6"/>
      <c r="B717" s="7" t="s">
        <v>2172</v>
      </c>
      <c r="C717" s="7" t="s">
        <v>31</v>
      </c>
      <c r="D717" s="7" t="s">
        <v>337</v>
      </c>
      <c r="E717" s="7" t="s">
        <v>2613</v>
      </c>
      <c r="F717" s="8" t="s">
        <v>2614</v>
      </c>
      <c r="G717" s="9" t="n">
        <f aca="false">DATE(2000+VALUE(MID(F717,7,2)),VALUE(MID(F717,4,2)),VALUE(LEFT(F717,2)))</f>
        <v>45562</v>
      </c>
      <c r="H717" s="8" t="s">
        <v>2615</v>
      </c>
      <c r="I717" s="9" t="n">
        <f aca="false">DATE(2000+VALUE(MID(H717,7,2)),VALUE(MID(H717,4,2)),VALUE(LEFT(H717,2)))</f>
        <v>45565</v>
      </c>
      <c r="J717" s="9"/>
      <c r="K717" s="10" t="n">
        <v>1738845</v>
      </c>
      <c r="L717" s="10" t="n">
        <v>0</v>
      </c>
      <c r="M717" s="10" t="n">
        <v>1738845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1738845</v>
      </c>
      <c r="S717" s="10" t="n">
        <v>0</v>
      </c>
      <c r="T717" s="7"/>
      <c r="U717" s="7"/>
      <c r="V717" s="7"/>
      <c r="W717" s="7" t="s">
        <v>49</v>
      </c>
      <c r="X717" s="7"/>
      <c r="Y717" s="7" t="s">
        <v>37</v>
      </c>
      <c r="Z717" s="7" t="s">
        <v>2616</v>
      </c>
      <c r="AA717" s="7" t="s">
        <v>2617</v>
      </c>
      <c r="AB717" s="10" t="n">
        <v>579615</v>
      </c>
      <c r="AC717" s="10" t="n">
        <v>3</v>
      </c>
    </row>
    <row r="718" customFormat="false" ht="15.75" hidden="true" customHeight="true" outlineLevel="0" collapsed="false">
      <c r="A718" s="6"/>
      <c r="B718" s="7" t="s">
        <v>1651</v>
      </c>
      <c r="C718" s="7" t="s">
        <v>31</v>
      </c>
      <c r="D718" s="7" t="s">
        <v>45</v>
      </c>
      <c r="E718" s="7" t="s">
        <v>2618</v>
      </c>
      <c r="F718" s="8" t="s">
        <v>2619</v>
      </c>
      <c r="G718" s="9" t="n">
        <f aca="false">DATE(2000+VALUE(MID(F718,7,2)),VALUE(MID(F718,4,2)),VALUE(LEFT(F718,2)))</f>
        <v>45560</v>
      </c>
      <c r="H718" s="8" t="s">
        <v>2620</v>
      </c>
      <c r="I718" s="9" t="n">
        <f aca="false">DATE(2000+VALUE(MID(H718,7,2)),VALUE(MID(H718,4,2)),VALUE(LEFT(H718,2)))</f>
        <v>45565</v>
      </c>
      <c r="J718" s="9"/>
      <c r="K718" s="10" t="n">
        <v>3658066</v>
      </c>
      <c r="L718" s="10" t="n">
        <v>0</v>
      </c>
      <c r="M718" s="10" t="n">
        <v>3658066</v>
      </c>
      <c r="N718" s="10" t="n">
        <v>0</v>
      </c>
      <c r="O718" s="10" t="n">
        <v>0</v>
      </c>
      <c r="P718" s="10" t="n">
        <v>0</v>
      </c>
      <c r="Q718" s="10" t="n">
        <v>0</v>
      </c>
      <c r="R718" s="10" t="n">
        <v>3658066</v>
      </c>
      <c r="S718" s="10" t="n">
        <v>0</v>
      </c>
      <c r="T718" s="7"/>
      <c r="U718" s="7"/>
      <c r="V718" s="7"/>
      <c r="W718" s="7" t="s">
        <v>49</v>
      </c>
      <c r="X718" s="7"/>
      <c r="Y718" s="7" t="s">
        <v>37</v>
      </c>
      <c r="Z718" s="7" t="s">
        <v>2254</v>
      </c>
      <c r="AA718" s="7" t="s">
        <v>2621</v>
      </c>
      <c r="AB718" s="10" t="n">
        <v>731613.2</v>
      </c>
      <c r="AC718" s="10" t="n">
        <v>5</v>
      </c>
    </row>
    <row r="719" customFormat="false" ht="15.75" hidden="true" customHeight="true" outlineLevel="0" collapsed="false">
      <c r="A719" s="6"/>
      <c r="B719" s="7" t="s">
        <v>1799</v>
      </c>
      <c r="C719" s="7" t="s">
        <v>209</v>
      </c>
      <c r="D719" s="7" t="s">
        <v>209</v>
      </c>
      <c r="E719" s="7" t="s">
        <v>2622</v>
      </c>
      <c r="F719" s="8" t="s">
        <v>2623</v>
      </c>
      <c r="G719" s="9" t="n">
        <f aca="false">DATE(2000+VALUE(MID(F719,7,2)),VALUE(MID(F719,4,2)),VALUE(LEFT(F719,2)))</f>
        <v>45536</v>
      </c>
      <c r="H719" s="8" t="s">
        <v>2624</v>
      </c>
      <c r="I719" s="9" t="n">
        <f aca="false">DATE(2000+VALUE(MID(H719,7,2)),VALUE(MID(H719,4,2)),VALUE(LEFT(H719,2)))</f>
        <v>45566</v>
      </c>
      <c r="J719" s="9"/>
      <c r="K719" s="10" t="n">
        <v>27555000</v>
      </c>
      <c r="L719" s="10" t="n">
        <v>1272000</v>
      </c>
      <c r="M719" s="10" t="n">
        <v>28827000</v>
      </c>
      <c r="N719" s="10" t="n">
        <v>0</v>
      </c>
      <c r="O719" s="10" t="n">
        <v>0</v>
      </c>
      <c r="P719" s="10" t="n">
        <v>0</v>
      </c>
      <c r="Q719" s="10" t="n">
        <v>28827000</v>
      </c>
      <c r="R719" s="10" t="n">
        <v>0</v>
      </c>
      <c r="S719" s="10" t="n">
        <v>0</v>
      </c>
      <c r="T719" s="7"/>
      <c r="U719" s="7"/>
      <c r="V719" s="7"/>
      <c r="W719" s="7" t="s">
        <v>36</v>
      </c>
      <c r="X719" s="7"/>
      <c r="Y719" s="7" t="s">
        <v>37</v>
      </c>
      <c r="Z719" s="7" t="s">
        <v>2625</v>
      </c>
      <c r="AA719" s="7"/>
      <c r="AB719" s="10" t="n">
        <v>918500</v>
      </c>
      <c r="AC719" s="10" t="n">
        <v>30</v>
      </c>
    </row>
    <row r="720" customFormat="false" ht="15.75" hidden="true" customHeight="true" outlineLevel="0" collapsed="false">
      <c r="A720" s="6"/>
      <c r="B720" s="7" t="s">
        <v>2265</v>
      </c>
      <c r="C720" s="7" t="s">
        <v>71</v>
      </c>
      <c r="D720" s="7" t="s">
        <v>92</v>
      </c>
      <c r="E720" s="7" t="s">
        <v>2626</v>
      </c>
      <c r="F720" s="8" t="s">
        <v>2627</v>
      </c>
      <c r="G720" s="9" t="n">
        <f aca="false">DATE(2000+VALUE(MID(F720,7,2)),VALUE(MID(F720,4,2)),VALUE(LEFT(F720,2)))</f>
        <v>45564</v>
      </c>
      <c r="H720" s="8" t="s">
        <v>2628</v>
      </c>
      <c r="I720" s="9" t="n">
        <f aca="false">DATE(2000+VALUE(MID(H720,7,2)),VALUE(MID(H720,4,2)),VALUE(LEFT(H720,2)))</f>
        <v>45566</v>
      </c>
      <c r="J720" s="9"/>
      <c r="K720" s="10" t="n">
        <v>988000</v>
      </c>
      <c r="L720" s="10" t="n">
        <v>0</v>
      </c>
      <c r="M720" s="10" t="n">
        <v>988000</v>
      </c>
      <c r="N720" s="10" t="n">
        <v>0</v>
      </c>
      <c r="O720" s="10" t="n">
        <v>0</v>
      </c>
      <c r="P720" s="10" t="n">
        <v>0</v>
      </c>
      <c r="Q720" s="10" t="n">
        <v>988000</v>
      </c>
      <c r="R720" s="10" t="n">
        <v>0</v>
      </c>
      <c r="S720" s="10" t="n">
        <v>0</v>
      </c>
      <c r="T720" s="7"/>
      <c r="U720" s="7"/>
      <c r="V720" s="7"/>
      <c r="W720" s="7" t="s">
        <v>43</v>
      </c>
      <c r="X720" s="7"/>
      <c r="Y720" s="7" t="s">
        <v>37</v>
      </c>
      <c r="Z720" s="7" t="s">
        <v>2629</v>
      </c>
      <c r="AA720" s="7"/>
      <c r="AB720" s="10" t="n">
        <v>494000</v>
      </c>
      <c r="AC720" s="10" t="n">
        <v>2</v>
      </c>
    </row>
    <row r="721" customFormat="false" ht="15.75" hidden="true" customHeight="true" outlineLevel="0" collapsed="false">
      <c r="A721" s="6"/>
      <c r="B721" s="7" t="s">
        <v>2275</v>
      </c>
      <c r="C721" s="7" t="s">
        <v>31</v>
      </c>
      <c r="D721" s="7" t="s">
        <v>337</v>
      </c>
      <c r="E721" s="7" t="s">
        <v>2613</v>
      </c>
      <c r="F721" s="8" t="s">
        <v>2630</v>
      </c>
      <c r="G721" s="9" t="n">
        <f aca="false">DATE(2000+VALUE(MID(F721,7,2)),VALUE(MID(F721,4,2)),VALUE(LEFT(F721,2)))</f>
        <v>45565</v>
      </c>
      <c r="H721" s="8" t="s">
        <v>2628</v>
      </c>
      <c r="I721" s="9" t="n">
        <f aca="false">DATE(2000+VALUE(MID(H721,7,2)),VALUE(MID(H721,4,2)),VALUE(LEFT(H721,2)))</f>
        <v>45566</v>
      </c>
      <c r="J721" s="9"/>
      <c r="K721" s="10" t="n">
        <v>650000</v>
      </c>
      <c r="L721" s="10" t="n">
        <v>0</v>
      </c>
      <c r="M721" s="10" t="n">
        <v>650000</v>
      </c>
      <c r="N721" s="10" t="n">
        <v>0</v>
      </c>
      <c r="O721" s="10" t="n">
        <v>650000</v>
      </c>
      <c r="P721" s="10" t="n">
        <v>0</v>
      </c>
      <c r="Q721" s="10" t="n">
        <v>0</v>
      </c>
      <c r="R721" s="10" t="n">
        <v>0</v>
      </c>
      <c r="S721" s="10" t="n">
        <v>0</v>
      </c>
      <c r="T721" s="7"/>
      <c r="U721" s="7"/>
      <c r="V721" s="7"/>
      <c r="W721" s="7" t="s">
        <v>43</v>
      </c>
      <c r="X721" s="7"/>
      <c r="Y721" s="7" t="s">
        <v>37</v>
      </c>
      <c r="Z721" s="7" t="s">
        <v>2631</v>
      </c>
      <c r="AA721" s="7"/>
      <c r="AB721" s="10" t="n">
        <v>650000</v>
      </c>
      <c r="AC721" s="10" t="n">
        <v>1</v>
      </c>
    </row>
    <row r="722" customFormat="false" ht="15.75" hidden="true" customHeight="true" outlineLevel="0" collapsed="false">
      <c r="A722" s="6"/>
      <c r="B722" s="7" t="s">
        <v>2336</v>
      </c>
      <c r="C722" s="7" t="s">
        <v>65</v>
      </c>
      <c r="D722" s="7" t="s">
        <v>156</v>
      </c>
      <c r="E722" s="7" t="s">
        <v>2632</v>
      </c>
      <c r="F722" s="8" t="s">
        <v>2633</v>
      </c>
      <c r="G722" s="9" t="n">
        <f aca="false">DATE(2000+VALUE(MID(F722,7,2)),VALUE(MID(F722,4,2)),VALUE(LEFT(F722,2)))</f>
        <v>45566</v>
      </c>
      <c r="H722" s="8" t="s">
        <v>2634</v>
      </c>
      <c r="I722" s="9" t="n">
        <f aca="false">DATE(2000+VALUE(MID(H722,7,2)),VALUE(MID(H722,4,2)),VALUE(LEFT(H722,2)))</f>
        <v>45567</v>
      </c>
      <c r="J722" s="9"/>
      <c r="K722" s="10" t="n">
        <v>494000</v>
      </c>
      <c r="L722" s="10" t="n">
        <v>0</v>
      </c>
      <c r="M722" s="10" t="n">
        <v>494000</v>
      </c>
      <c r="N722" s="10" t="n">
        <v>0</v>
      </c>
      <c r="O722" s="10" t="n">
        <v>0</v>
      </c>
      <c r="P722" s="10" t="n">
        <v>0</v>
      </c>
      <c r="Q722" s="10" t="n">
        <v>494000</v>
      </c>
      <c r="R722" s="10" t="n">
        <v>0</v>
      </c>
      <c r="S722" s="10" t="n">
        <v>0</v>
      </c>
      <c r="T722" s="7"/>
      <c r="U722" s="7"/>
      <c r="V722" s="7"/>
      <c r="W722" s="7" t="s">
        <v>43</v>
      </c>
      <c r="X722" s="7"/>
      <c r="Y722" s="7" t="s">
        <v>37</v>
      </c>
      <c r="Z722" s="7" t="s">
        <v>2635</v>
      </c>
      <c r="AA722" s="7"/>
      <c r="AB722" s="10" t="n">
        <v>494000</v>
      </c>
      <c r="AC722" s="10" t="n">
        <v>1</v>
      </c>
    </row>
    <row r="723" customFormat="false" ht="15.75" hidden="true" customHeight="true" outlineLevel="0" collapsed="false">
      <c r="A723" s="6"/>
      <c r="B723" s="7" t="s">
        <v>2309</v>
      </c>
      <c r="C723" s="7" t="s">
        <v>65</v>
      </c>
      <c r="D723" s="7" t="s">
        <v>82</v>
      </c>
      <c r="E723" s="7" t="s">
        <v>2636</v>
      </c>
      <c r="F723" s="8" t="s">
        <v>2637</v>
      </c>
      <c r="G723" s="9" t="n">
        <f aca="false">DATE(2000+VALUE(MID(F723,7,2)),VALUE(MID(F723,4,2)),VALUE(LEFT(F723,2)))</f>
        <v>45566</v>
      </c>
      <c r="H723" s="8" t="s">
        <v>2634</v>
      </c>
      <c r="I723" s="9" t="n">
        <f aca="false">DATE(2000+VALUE(MID(H723,7,2)),VALUE(MID(H723,4,2)),VALUE(LEFT(H723,2)))</f>
        <v>45567</v>
      </c>
      <c r="J723" s="9"/>
      <c r="K723" s="10" t="n">
        <v>494000</v>
      </c>
      <c r="L723" s="10" t="n">
        <v>0</v>
      </c>
      <c r="M723" s="10" t="n">
        <v>494000</v>
      </c>
      <c r="N723" s="10" t="n">
        <v>0</v>
      </c>
      <c r="O723" s="10" t="n">
        <v>0</v>
      </c>
      <c r="P723" s="10" t="n">
        <v>0</v>
      </c>
      <c r="Q723" s="10" t="n">
        <v>494000</v>
      </c>
      <c r="R723" s="10" t="n">
        <v>0</v>
      </c>
      <c r="S723" s="10" t="n">
        <v>0</v>
      </c>
      <c r="T723" s="7"/>
      <c r="U723" s="7"/>
      <c r="V723" s="7"/>
      <c r="W723" s="7" t="s">
        <v>43</v>
      </c>
      <c r="X723" s="7"/>
      <c r="Y723" s="7" t="s">
        <v>37</v>
      </c>
      <c r="Z723" s="7" t="s">
        <v>2638</v>
      </c>
      <c r="AA723" s="7"/>
      <c r="AB723" s="10" t="n">
        <v>494000</v>
      </c>
      <c r="AC723" s="10" t="n">
        <v>1</v>
      </c>
    </row>
    <row r="724" customFormat="false" ht="15.75" hidden="true" customHeight="true" outlineLevel="0" collapsed="false">
      <c r="A724" s="6"/>
      <c r="B724" s="7" t="s">
        <v>2290</v>
      </c>
      <c r="C724" s="7" t="s">
        <v>31</v>
      </c>
      <c r="D724" s="7" t="s">
        <v>361</v>
      </c>
      <c r="E724" s="7" t="s">
        <v>2639</v>
      </c>
      <c r="F724" s="8" t="s">
        <v>2640</v>
      </c>
      <c r="G724" s="9" t="n">
        <f aca="false">DATE(2000+VALUE(MID(F724,7,2)),VALUE(MID(F724,4,2)),VALUE(LEFT(F724,2)))</f>
        <v>45566</v>
      </c>
      <c r="H724" s="8" t="s">
        <v>2641</v>
      </c>
      <c r="I724" s="9" t="n">
        <f aca="false">DATE(2000+VALUE(MID(H724,7,2)),VALUE(MID(H724,4,2)),VALUE(LEFT(H724,2)))</f>
        <v>45567</v>
      </c>
      <c r="J724" s="9"/>
      <c r="K724" s="10" t="n">
        <v>760000</v>
      </c>
      <c r="L724" s="10" t="n">
        <v>0</v>
      </c>
      <c r="M724" s="10" t="n">
        <v>760000</v>
      </c>
      <c r="N724" s="10" t="n">
        <v>0</v>
      </c>
      <c r="O724" s="10" t="n">
        <v>0</v>
      </c>
      <c r="P724" s="10" t="n">
        <v>0</v>
      </c>
      <c r="Q724" s="10" t="n">
        <v>760000</v>
      </c>
      <c r="R724" s="10" t="n">
        <v>0</v>
      </c>
      <c r="S724" s="10" t="n">
        <v>0</v>
      </c>
      <c r="T724" s="7"/>
      <c r="U724" s="7"/>
      <c r="V724" s="7"/>
      <c r="W724" s="7" t="s">
        <v>43</v>
      </c>
      <c r="X724" s="7"/>
      <c r="Y724" s="7" t="s">
        <v>37</v>
      </c>
      <c r="Z724" s="7" t="s">
        <v>2642</v>
      </c>
      <c r="AA724" s="7"/>
      <c r="AB724" s="10" t="n">
        <v>760000</v>
      </c>
      <c r="AC724" s="10" t="n">
        <v>1</v>
      </c>
    </row>
    <row r="725" customFormat="false" ht="15.75" hidden="true" customHeight="true" outlineLevel="0" collapsed="false">
      <c r="A725" s="6"/>
      <c r="B725" s="7" t="s">
        <v>2273</v>
      </c>
      <c r="C725" s="7" t="s">
        <v>65</v>
      </c>
      <c r="D725" s="7" t="s">
        <v>66</v>
      </c>
      <c r="E725" s="7" t="s">
        <v>2643</v>
      </c>
      <c r="F725" s="8" t="s">
        <v>2644</v>
      </c>
      <c r="G725" s="9" t="n">
        <f aca="false">DATE(2000+VALUE(MID(F725,7,2)),VALUE(MID(F725,4,2)),VALUE(LEFT(F725,2)))</f>
        <v>45564</v>
      </c>
      <c r="H725" s="8" t="s">
        <v>2645</v>
      </c>
      <c r="I725" s="9" t="n">
        <f aca="false">DATE(2000+VALUE(MID(H725,7,2)),VALUE(MID(H725,4,2)),VALUE(LEFT(H725,2)))</f>
        <v>45567</v>
      </c>
      <c r="J725" s="9"/>
      <c r="K725" s="10" t="n">
        <v>1437000</v>
      </c>
      <c r="L725" s="10" t="n">
        <v>0</v>
      </c>
      <c r="M725" s="10" t="n">
        <v>1437000</v>
      </c>
      <c r="N725" s="10" t="n">
        <v>0</v>
      </c>
      <c r="O725" s="10" t="n">
        <v>0</v>
      </c>
      <c r="P725" s="10" t="n">
        <v>0</v>
      </c>
      <c r="Q725" s="10" t="n">
        <v>1437000</v>
      </c>
      <c r="R725" s="10" t="n">
        <v>0</v>
      </c>
      <c r="S725" s="10" t="n">
        <v>0</v>
      </c>
      <c r="T725" s="7"/>
      <c r="U725" s="7"/>
      <c r="V725" s="7"/>
      <c r="W725" s="7" t="s">
        <v>43</v>
      </c>
      <c r="X725" s="7"/>
      <c r="Y725" s="7" t="s">
        <v>37</v>
      </c>
      <c r="Z725" s="7" t="s">
        <v>2646</v>
      </c>
      <c r="AA725" s="7"/>
      <c r="AB725" s="10" t="n">
        <v>479000</v>
      </c>
      <c r="AC725" s="10" t="n">
        <v>3</v>
      </c>
    </row>
    <row r="726" customFormat="false" ht="15.75" hidden="true" customHeight="true" outlineLevel="0" collapsed="false">
      <c r="A726" s="6"/>
      <c r="B726" s="7" t="s">
        <v>2338</v>
      </c>
      <c r="C726" s="7" t="s">
        <v>65</v>
      </c>
      <c r="D726" s="7" t="s">
        <v>82</v>
      </c>
      <c r="E726" s="7" t="s">
        <v>2647</v>
      </c>
      <c r="F726" s="8" t="s">
        <v>2648</v>
      </c>
      <c r="G726" s="9" t="n">
        <f aca="false">DATE(2000+VALUE(MID(F726,7,2)),VALUE(MID(F726,4,2)),VALUE(LEFT(F726,2)))</f>
        <v>45567</v>
      </c>
      <c r="H726" s="8" t="s">
        <v>2649</v>
      </c>
      <c r="I726" s="9" t="n">
        <f aca="false">DATE(2000+VALUE(MID(H726,7,2)),VALUE(MID(H726,4,2)),VALUE(LEFT(H726,2)))</f>
        <v>45567</v>
      </c>
      <c r="J726" s="9"/>
      <c r="K726" s="10" t="n">
        <v>410000</v>
      </c>
      <c r="L726" s="10" t="n">
        <v>40000</v>
      </c>
      <c r="M726" s="10" t="n">
        <v>450000</v>
      </c>
      <c r="N726" s="10" t="n">
        <v>0</v>
      </c>
      <c r="O726" s="10" t="n">
        <v>450000</v>
      </c>
      <c r="P726" s="10" t="n">
        <v>0</v>
      </c>
      <c r="Q726" s="10" t="n">
        <v>0</v>
      </c>
      <c r="R726" s="10" t="n">
        <v>0</v>
      </c>
      <c r="S726" s="10" t="n">
        <v>0</v>
      </c>
      <c r="T726" s="7"/>
      <c r="U726" s="7"/>
      <c r="V726" s="7"/>
      <c r="W726" s="7" t="s">
        <v>43</v>
      </c>
      <c r="X726" s="7"/>
      <c r="Y726" s="7" t="s">
        <v>37</v>
      </c>
      <c r="Z726" s="7" t="s">
        <v>2650</v>
      </c>
      <c r="AA726" s="7"/>
      <c r="AB726" s="10" t="n">
        <v>410000</v>
      </c>
      <c r="AC726" s="10" t="n">
        <v>1</v>
      </c>
    </row>
    <row r="727" customFormat="false" ht="15.75" hidden="true" customHeight="true" outlineLevel="0" collapsed="false">
      <c r="A727" s="6"/>
      <c r="B727" s="7" t="s">
        <v>2312</v>
      </c>
      <c r="C727" s="7" t="s">
        <v>65</v>
      </c>
      <c r="D727" s="7" t="s">
        <v>76</v>
      </c>
      <c r="E727" s="7" t="s">
        <v>2651</v>
      </c>
      <c r="F727" s="8" t="s">
        <v>2652</v>
      </c>
      <c r="G727" s="9" t="n">
        <f aca="false">DATE(2000+VALUE(MID(F727,7,2)),VALUE(MID(F727,4,2)),VALUE(LEFT(F727,2)))</f>
        <v>45567</v>
      </c>
      <c r="H727" s="8" t="s">
        <v>2653</v>
      </c>
      <c r="I727" s="9" t="n">
        <f aca="false">DATE(2000+VALUE(MID(H727,7,2)),VALUE(MID(H727,4,2)),VALUE(LEFT(H727,2)))</f>
        <v>45567</v>
      </c>
      <c r="J727" s="9"/>
      <c r="K727" s="10" t="n">
        <v>350000</v>
      </c>
      <c r="L727" s="10" t="n">
        <v>0</v>
      </c>
      <c r="M727" s="10" t="n">
        <v>350000</v>
      </c>
      <c r="N727" s="10" t="n">
        <v>0</v>
      </c>
      <c r="O727" s="10" t="n">
        <v>350000</v>
      </c>
      <c r="P727" s="10" t="n">
        <v>0</v>
      </c>
      <c r="Q727" s="10" t="n">
        <v>0</v>
      </c>
      <c r="R727" s="10" t="n">
        <v>0</v>
      </c>
      <c r="S727" s="10" t="n">
        <v>0</v>
      </c>
      <c r="T727" s="7"/>
      <c r="U727" s="7"/>
      <c r="V727" s="7"/>
      <c r="W727" s="7" t="s">
        <v>43</v>
      </c>
      <c r="X727" s="7"/>
      <c r="Y727" s="7" t="s">
        <v>37</v>
      </c>
      <c r="Z727" s="7" t="s">
        <v>2654</v>
      </c>
      <c r="AA727" s="7"/>
      <c r="AB727" s="10" t="n">
        <v>350000</v>
      </c>
      <c r="AC727" s="10" t="n">
        <v>1</v>
      </c>
    </row>
    <row r="728" customFormat="false" ht="15.75" hidden="true" customHeight="true" outlineLevel="0" collapsed="false">
      <c r="A728" s="6"/>
      <c r="B728" s="7" t="s">
        <v>2314</v>
      </c>
      <c r="C728" s="7" t="s">
        <v>60</v>
      </c>
      <c r="D728" s="7" t="s">
        <v>164</v>
      </c>
      <c r="E728" s="7" t="s">
        <v>2655</v>
      </c>
      <c r="F728" s="8" t="s">
        <v>2656</v>
      </c>
      <c r="G728" s="9" t="n">
        <f aca="false">DATE(2000+VALUE(MID(F728,7,2)),VALUE(MID(F728,4,2)),VALUE(LEFT(F728,2)))</f>
        <v>45568</v>
      </c>
      <c r="H728" s="8" t="s">
        <v>2657</v>
      </c>
      <c r="I728" s="9" t="n">
        <f aca="false">DATE(2000+VALUE(MID(H728,7,2)),VALUE(MID(H728,4,2)),VALUE(LEFT(H728,2)))</f>
        <v>45568</v>
      </c>
      <c r="J728" s="9"/>
      <c r="K728" s="10" t="n">
        <v>525000</v>
      </c>
      <c r="L728" s="10" t="n">
        <v>0</v>
      </c>
      <c r="M728" s="10" t="n">
        <v>525000</v>
      </c>
      <c r="N728" s="10" t="n">
        <v>0</v>
      </c>
      <c r="O728" s="10" t="n">
        <v>525000</v>
      </c>
      <c r="P728" s="10" t="n">
        <v>0</v>
      </c>
      <c r="Q728" s="10" t="n">
        <v>0</v>
      </c>
      <c r="R728" s="10" t="n">
        <v>0</v>
      </c>
      <c r="S728" s="10" t="n">
        <v>0</v>
      </c>
      <c r="T728" s="7"/>
      <c r="U728" s="7"/>
      <c r="V728" s="7"/>
      <c r="W728" s="7" t="s">
        <v>43</v>
      </c>
      <c r="X728" s="7"/>
      <c r="Y728" s="7" t="s">
        <v>37</v>
      </c>
      <c r="Z728" s="7" t="s">
        <v>2658</v>
      </c>
      <c r="AA728" s="7"/>
      <c r="AB728" s="10" t="n">
        <v>525000</v>
      </c>
      <c r="AC728" s="10" t="n">
        <v>1</v>
      </c>
    </row>
    <row r="729" customFormat="false" ht="15.75" hidden="true" customHeight="true" outlineLevel="0" collapsed="false">
      <c r="A729" s="6"/>
      <c r="B729" s="7" t="s">
        <v>2287</v>
      </c>
      <c r="C729" s="7" t="s">
        <v>60</v>
      </c>
      <c r="D729" s="7" t="s">
        <v>116</v>
      </c>
      <c r="E729" s="7" t="s">
        <v>2659</v>
      </c>
      <c r="F729" s="8" t="s">
        <v>2660</v>
      </c>
      <c r="G729" s="9" t="n">
        <f aca="false">DATE(2000+VALUE(MID(F729,7,2)),VALUE(MID(F729,4,2)),VALUE(LEFT(F729,2)))</f>
        <v>45566</v>
      </c>
      <c r="H729" s="8" t="s">
        <v>2661</v>
      </c>
      <c r="I729" s="9" t="n">
        <f aca="false">DATE(2000+VALUE(MID(H729,7,2)),VALUE(MID(H729,4,2)),VALUE(LEFT(H729,2)))</f>
        <v>45568</v>
      </c>
      <c r="J729" s="9"/>
      <c r="K729" s="10" t="n">
        <v>1120000</v>
      </c>
      <c r="L729" s="10" t="n">
        <v>0</v>
      </c>
      <c r="M729" s="10" t="n">
        <v>1120000</v>
      </c>
      <c r="N729" s="10" t="n">
        <v>0</v>
      </c>
      <c r="O729" s="10" t="n">
        <v>1120000</v>
      </c>
      <c r="P729" s="10" t="n">
        <v>0</v>
      </c>
      <c r="Q729" s="10" t="n">
        <v>0</v>
      </c>
      <c r="R729" s="10" t="n">
        <v>0</v>
      </c>
      <c r="S729" s="10" t="n">
        <v>0</v>
      </c>
      <c r="T729" s="7"/>
      <c r="U729" s="7"/>
      <c r="V729" s="7"/>
      <c r="W729" s="7" t="s">
        <v>43</v>
      </c>
      <c r="X729" s="7"/>
      <c r="Y729" s="7" t="s">
        <v>37</v>
      </c>
      <c r="Z729" s="7" t="s">
        <v>2662</v>
      </c>
      <c r="AA729" s="7"/>
      <c r="AB729" s="10" t="n">
        <v>560000</v>
      </c>
      <c r="AC729" s="10" t="n">
        <v>2</v>
      </c>
    </row>
    <row r="730" customFormat="false" ht="15.75" hidden="true" customHeight="true" outlineLevel="0" collapsed="false">
      <c r="A730" s="6"/>
      <c r="B730" s="7" t="s">
        <v>2448</v>
      </c>
      <c r="C730" s="7" t="s">
        <v>31</v>
      </c>
      <c r="D730" s="7" t="s">
        <v>337</v>
      </c>
      <c r="E730" s="7" t="s">
        <v>2663</v>
      </c>
      <c r="F730" s="8" t="s">
        <v>2664</v>
      </c>
      <c r="G730" s="9" t="n">
        <f aca="false">DATE(2000+VALUE(MID(F730,7,2)),VALUE(MID(F730,4,2)),VALUE(LEFT(F730,2)))</f>
        <v>45568</v>
      </c>
      <c r="H730" s="8" t="s">
        <v>2665</v>
      </c>
      <c r="I730" s="9" t="n">
        <f aca="false">DATE(2000+VALUE(MID(H730,7,2)),VALUE(MID(H730,4,2)),VALUE(LEFT(H730,2)))</f>
        <v>45569</v>
      </c>
      <c r="J730" s="9"/>
      <c r="K730" s="10" t="n">
        <v>700000</v>
      </c>
      <c r="L730" s="10" t="n">
        <v>0</v>
      </c>
      <c r="M730" s="10" t="n">
        <v>700000</v>
      </c>
      <c r="N730" s="10" t="n">
        <v>0</v>
      </c>
      <c r="O730" s="10" t="n">
        <v>700000</v>
      </c>
      <c r="P730" s="10" t="n">
        <v>0</v>
      </c>
      <c r="Q730" s="10" t="n">
        <v>0</v>
      </c>
      <c r="R730" s="10" t="n">
        <v>0</v>
      </c>
      <c r="S730" s="10" t="n">
        <v>0</v>
      </c>
      <c r="T730" s="7"/>
      <c r="U730" s="7"/>
      <c r="V730" s="7"/>
      <c r="W730" s="7" t="s">
        <v>43</v>
      </c>
      <c r="X730" s="7"/>
      <c r="Y730" s="7" t="s">
        <v>37</v>
      </c>
      <c r="Z730" s="7" t="s">
        <v>2666</v>
      </c>
      <c r="AA730" s="7"/>
      <c r="AB730" s="10" t="n">
        <v>700000</v>
      </c>
      <c r="AC730" s="10" t="n">
        <v>1</v>
      </c>
    </row>
    <row r="731" customFormat="false" ht="15.75" hidden="true" customHeight="true" outlineLevel="0" collapsed="false">
      <c r="A731" s="6"/>
      <c r="B731" s="7" t="s">
        <v>2258</v>
      </c>
      <c r="C731" s="7" t="s">
        <v>65</v>
      </c>
      <c r="D731" s="7" t="s">
        <v>156</v>
      </c>
      <c r="E731" s="7" t="s">
        <v>2667</v>
      </c>
      <c r="F731" s="8" t="s">
        <v>2668</v>
      </c>
      <c r="G731" s="9" t="n">
        <f aca="false">DATE(2000+VALUE(MID(F731,7,2)),VALUE(MID(F731,4,2)),VALUE(LEFT(F731,2)))</f>
        <v>45569</v>
      </c>
      <c r="H731" s="8" t="s">
        <v>2669</v>
      </c>
      <c r="I731" s="9" t="n">
        <f aca="false">DATE(2000+VALUE(MID(H731,7,2)),VALUE(MID(H731,4,2)),VALUE(LEFT(H731,2)))</f>
        <v>45569</v>
      </c>
      <c r="J731" s="9"/>
      <c r="K731" s="10" t="n">
        <v>470000</v>
      </c>
      <c r="L731" s="10" t="n">
        <v>0</v>
      </c>
      <c r="M731" s="10" t="n">
        <v>470000</v>
      </c>
      <c r="N731" s="10" t="n">
        <v>0</v>
      </c>
      <c r="O731" s="10" t="n">
        <v>0</v>
      </c>
      <c r="P731" s="10" t="n">
        <v>0</v>
      </c>
      <c r="Q731" s="10" t="n">
        <v>470000</v>
      </c>
      <c r="R731" s="10" t="n">
        <v>0</v>
      </c>
      <c r="S731" s="10" t="n">
        <v>0</v>
      </c>
      <c r="T731" s="7"/>
      <c r="U731" s="7"/>
      <c r="V731" s="7"/>
      <c r="W731" s="7" t="s">
        <v>43</v>
      </c>
      <c r="X731" s="7"/>
      <c r="Y731" s="7" t="s">
        <v>37</v>
      </c>
      <c r="Z731" s="7" t="s">
        <v>2670</v>
      </c>
      <c r="AA731" s="7"/>
      <c r="AB731" s="10" t="n">
        <v>470000</v>
      </c>
      <c r="AC731" s="10" t="n">
        <v>1</v>
      </c>
    </row>
    <row r="732" customFormat="false" ht="15.75" hidden="true" customHeight="true" outlineLevel="0" collapsed="false">
      <c r="A732" s="6"/>
      <c r="B732" s="7" t="s">
        <v>2318</v>
      </c>
      <c r="C732" s="7" t="s">
        <v>65</v>
      </c>
      <c r="D732" s="7" t="s">
        <v>76</v>
      </c>
      <c r="E732" s="7" t="s">
        <v>2671</v>
      </c>
      <c r="F732" s="8" t="s">
        <v>2672</v>
      </c>
      <c r="G732" s="9" t="n">
        <f aca="false">DATE(2000+VALUE(MID(F732,7,2)),VALUE(MID(F732,4,2)),VALUE(LEFT(F732,2)))</f>
        <v>45569</v>
      </c>
      <c r="H732" s="8" t="s">
        <v>2673</v>
      </c>
      <c r="I732" s="9" t="n">
        <f aca="false">DATE(2000+VALUE(MID(H732,7,2)),VALUE(MID(H732,4,2)),VALUE(LEFT(H732,2)))</f>
        <v>45569</v>
      </c>
      <c r="J732" s="9"/>
      <c r="K732" s="10" t="n">
        <v>529000</v>
      </c>
      <c r="L732" s="10" t="n">
        <v>0</v>
      </c>
      <c r="M732" s="10" t="n">
        <v>529000</v>
      </c>
      <c r="N732" s="10" t="n">
        <v>0</v>
      </c>
      <c r="O732" s="10" t="n">
        <v>0</v>
      </c>
      <c r="P732" s="10" t="n">
        <v>0</v>
      </c>
      <c r="Q732" s="10" t="n">
        <v>529000</v>
      </c>
      <c r="R732" s="10" t="n">
        <v>0</v>
      </c>
      <c r="S732" s="10" t="n">
        <v>0</v>
      </c>
      <c r="T732" s="7"/>
      <c r="U732" s="7"/>
      <c r="V732" s="7"/>
      <c r="W732" s="7" t="s">
        <v>43</v>
      </c>
      <c r="X732" s="7"/>
      <c r="Y732" s="7" t="s">
        <v>37</v>
      </c>
      <c r="Z732" s="7" t="s">
        <v>2674</v>
      </c>
      <c r="AA732" s="7"/>
      <c r="AB732" s="10" t="n">
        <v>529000</v>
      </c>
      <c r="AC732" s="10" t="n">
        <v>1</v>
      </c>
    </row>
    <row r="733" customFormat="false" ht="15.75" hidden="true" customHeight="true" outlineLevel="0" collapsed="false">
      <c r="A733" s="6"/>
      <c r="B733" s="7" t="s">
        <v>2294</v>
      </c>
      <c r="C733" s="7" t="s">
        <v>60</v>
      </c>
      <c r="D733" s="7" t="s">
        <v>164</v>
      </c>
      <c r="E733" s="7" t="s">
        <v>2675</v>
      </c>
      <c r="F733" s="8" t="s">
        <v>2676</v>
      </c>
      <c r="G733" s="9" t="n">
        <f aca="false">DATE(2000+VALUE(MID(F733,7,2)),VALUE(MID(F733,4,2)),VALUE(LEFT(F733,2)))</f>
        <v>45569</v>
      </c>
      <c r="H733" s="8" t="s">
        <v>2677</v>
      </c>
      <c r="I733" s="9" t="n">
        <f aca="false">DATE(2000+VALUE(MID(H733,7,2)),VALUE(MID(H733,4,2)),VALUE(LEFT(H733,2)))</f>
        <v>45571</v>
      </c>
      <c r="J733" s="9"/>
      <c r="K733" s="10" t="n">
        <v>1066000</v>
      </c>
      <c r="L733" s="10" t="n">
        <v>0</v>
      </c>
      <c r="M733" s="10" t="n">
        <v>1066000</v>
      </c>
      <c r="N733" s="10" t="n">
        <v>0</v>
      </c>
      <c r="O733" s="10" t="n">
        <v>532000</v>
      </c>
      <c r="P733" s="10" t="n">
        <v>0</v>
      </c>
      <c r="Q733" s="10" t="n">
        <v>534000</v>
      </c>
      <c r="R733" s="10" t="n">
        <v>0</v>
      </c>
      <c r="S733" s="10" t="n">
        <v>0</v>
      </c>
      <c r="T733" s="7"/>
      <c r="U733" s="7"/>
      <c r="V733" s="7"/>
      <c r="W733" s="7" t="s">
        <v>43</v>
      </c>
      <c r="X733" s="7"/>
      <c r="Y733" s="7" t="s">
        <v>37</v>
      </c>
      <c r="Z733" s="7" t="s">
        <v>2678</v>
      </c>
      <c r="AA733" s="7"/>
      <c r="AB733" s="10" t="n">
        <v>533000</v>
      </c>
      <c r="AC733" s="10" t="n">
        <v>2</v>
      </c>
    </row>
    <row r="734" customFormat="false" ht="15.75" hidden="true" customHeight="true" outlineLevel="0" collapsed="false">
      <c r="A734" s="6"/>
      <c r="B734" s="7" t="s">
        <v>2237</v>
      </c>
      <c r="C734" s="7" t="s">
        <v>65</v>
      </c>
      <c r="D734" s="7" t="s">
        <v>76</v>
      </c>
      <c r="E734" s="7" t="s">
        <v>2679</v>
      </c>
      <c r="F734" s="8" t="s">
        <v>2680</v>
      </c>
      <c r="G734" s="9" t="n">
        <f aca="false">DATE(2000+VALUE(MID(F734,7,2)),VALUE(MID(F734,4,2)),VALUE(LEFT(F734,2)))</f>
        <v>45570</v>
      </c>
      <c r="H734" s="8" t="s">
        <v>2681</v>
      </c>
      <c r="I734" s="9" t="n">
        <f aca="false">DATE(2000+VALUE(MID(H734,7,2)),VALUE(MID(H734,4,2)),VALUE(LEFT(H734,2)))</f>
        <v>45571</v>
      </c>
      <c r="J734" s="9"/>
      <c r="K734" s="10" t="n">
        <v>640872</v>
      </c>
      <c r="L734" s="10" t="n">
        <v>0</v>
      </c>
      <c r="M734" s="10" t="n">
        <v>640872</v>
      </c>
      <c r="N734" s="10" t="n">
        <v>0</v>
      </c>
      <c r="O734" s="10" t="n">
        <v>0</v>
      </c>
      <c r="P734" s="10" t="n">
        <v>0</v>
      </c>
      <c r="Q734" s="10" t="n">
        <v>0</v>
      </c>
      <c r="R734" s="10" t="n">
        <v>640872</v>
      </c>
      <c r="S734" s="10" t="n">
        <v>0</v>
      </c>
      <c r="T734" s="7"/>
      <c r="U734" s="7"/>
      <c r="V734" s="7"/>
      <c r="W734" s="7" t="s">
        <v>49</v>
      </c>
      <c r="X734" s="7"/>
      <c r="Y734" s="7" t="s">
        <v>37</v>
      </c>
      <c r="Z734" s="7" t="s">
        <v>2682</v>
      </c>
      <c r="AA734" s="7" t="s">
        <v>2683</v>
      </c>
      <c r="AB734" s="10" t="n">
        <v>640872</v>
      </c>
      <c r="AC734" s="10" t="n">
        <v>1</v>
      </c>
    </row>
    <row r="735" customFormat="false" ht="15.75" hidden="true" customHeight="true" outlineLevel="0" collapsed="false">
      <c r="A735" s="6"/>
      <c r="B735" s="7" t="s">
        <v>2684</v>
      </c>
      <c r="C735" s="7" t="s">
        <v>65</v>
      </c>
      <c r="D735" s="7" t="s">
        <v>96</v>
      </c>
      <c r="E735" s="7" t="s">
        <v>2685</v>
      </c>
      <c r="F735" s="8" t="s">
        <v>2686</v>
      </c>
      <c r="G735" s="9" t="n">
        <f aca="false">DATE(2000+VALUE(MID(F735,7,2)),VALUE(MID(F735,4,2)),VALUE(LEFT(F735,2)))</f>
        <v>45569</v>
      </c>
      <c r="H735" s="8" t="s">
        <v>2687</v>
      </c>
      <c r="I735" s="9" t="n">
        <f aca="false">DATE(2000+VALUE(MID(H735,7,2)),VALUE(MID(H735,4,2)),VALUE(LEFT(H735,2)))</f>
        <v>45572</v>
      </c>
      <c r="J735" s="9"/>
      <c r="K735" s="10" t="n">
        <v>1752000</v>
      </c>
      <c r="L735" s="10" t="n">
        <v>0</v>
      </c>
      <c r="M735" s="10" t="n">
        <v>1752000</v>
      </c>
      <c r="N735" s="10" t="n">
        <v>0</v>
      </c>
      <c r="O735" s="10" t="n">
        <v>0</v>
      </c>
      <c r="P735" s="10" t="n">
        <v>0</v>
      </c>
      <c r="Q735" s="10" t="n">
        <v>1752000</v>
      </c>
      <c r="R735" s="10" t="n">
        <v>0</v>
      </c>
      <c r="S735" s="10" t="n">
        <v>0</v>
      </c>
      <c r="T735" s="7"/>
      <c r="U735" s="7"/>
      <c r="V735" s="7"/>
      <c r="W735" s="7" t="s">
        <v>43</v>
      </c>
      <c r="X735" s="7"/>
      <c r="Y735" s="7" t="s">
        <v>37</v>
      </c>
      <c r="Z735" s="7" t="s">
        <v>2688</v>
      </c>
      <c r="AA735" s="7"/>
      <c r="AB735" s="10" t="n">
        <v>584000</v>
      </c>
      <c r="AC735" s="10" t="n">
        <v>3</v>
      </c>
    </row>
    <row r="736" customFormat="false" ht="15.75" hidden="true" customHeight="true" outlineLevel="0" collapsed="false">
      <c r="A736" s="6"/>
      <c r="B736" s="7" t="s">
        <v>2001</v>
      </c>
      <c r="C736" s="7" t="s">
        <v>31</v>
      </c>
      <c r="D736" s="7" t="s">
        <v>361</v>
      </c>
      <c r="E736" s="12" t="s">
        <v>2689</v>
      </c>
      <c r="F736" s="8" t="s">
        <v>2690</v>
      </c>
      <c r="G736" s="9" t="n">
        <f aca="false">DATE(2000+VALUE(MID(F736,7,2)),VALUE(MID(F736,4,2)),VALUE(LEFT(F736,2)))</f>
        <v>45570</v>
      </c>
      <c r="H736" s="8" t="s">
        <v>2691</v>
      </c>
      <c r="I736" s="9" t="n">
        <f aca="false">DATE(2000+VALUE(MID(H736,7,2)),VALUE(MID(H736,4,2)),VALUE(LEFT(H736,2)))</f>
        <v>45572</v>
      </c>
      <c r="J736" s="9"/>
      <c r="K736" s="10" t="n">
        <v>1528300</v>
      </c>
      <c r="L736" s="10" t="n">
        <v>0</v>
      </c>
      <c r="M736" s="10" t="n">
        <v>1528300</v>
      </c>
      <c r="N736" s="10" t="n">
        <v>0</v>
      </c>
      <c r="O736" s="10" t="n">
        <v>0</v>
      </c>
      <c r="P736" s="10" t="n">
        <v>0</v>
      </c>
      <c r="Q736" s="10" t="n">
        <v>0</v>
      </c>
      <c r="R736" s="10" t="n">
        <v>1528300</v>
      </c>
      <c r="S736" s="10" t="n">
        <v>0</v>
      </c>
      <c r="T736" s="7"/>
      <c r="U736" s="7"/>
      <c r="V736" s="7"/>
      <c r="W736" s="7" t="s">
        <v>49</v>
      </c>
      <c r="X736" s="7"/>
      <c r="Y736" s="7" t="s">
        <v>37</v>
      </c>
      <c r="Z736" s="7" t="s">
        <v>2692</v>
      </c>
      <c r="AA736" s="7" t="s">
        <v>2693</v>
      </c>
      <c r="AB736" s="10" t="n">
        <v>764150</v>
      </c>
      <c r="AC736" s="10" t="n">
        <v>2</v>
      </c>
    </row>
    <row r="737" customFormat="false" ht="15.75" hidden="true" customHeight="true" outlineLevel="0" collapsed="false">
      <c r="A737" s="6"/>
      <c r="B737" s="7" t="s">
        <v>2229</v>
      </c>
      <c r="C737" s="7" t="s">
        <v>65</v>
      </c>
      <c r="D737" s="7" t="s">
        <v>66</v>
      </c>
      <c r="E737" s="7" t="s">
        <v>2694</v>
      </c>
      <c r="F737" s="8" t="s">
        <v>2695</v>
      </c>
      <c r="G737" s="9" t="n">
        <f aca="false">DATE(2000+VALUE(MID(F737,7,2)),VALUE(MID(F737,4,2)),VALUE(LEFT(F737,2)))</f>
        <v>45571</v>
      </c>
      <c r="H737" s="8" t="s">
        <v>2696</v>
      </c>
      <c r="I737" s="9" t="n">
        <f aca="false">DATE(2000+VALUE(MID(H737,7,2)),VALUE(MID(H737,4,2)),VALUE(LEFT(H737,2)))</f>
        <v>45572</v>
      </c>
      <c r="J737" s="9"/>
      <c r="K737" s="10" t="n">
        <v>503806</v>
      </c>
      <c r="L737" s="10" t="n">
        <v>120000</v>
      </c>
      <c r="M737" s="10" t="n">
        <v>623806</v>
      </c>
      <c r="N737" s="10" t="n">
        <v>0</v>
      </c>
      <c r="O737" s="10" t="n">
        <v>0</v>
      </c>
      <c r="P737" s="10" t="n">
        <v>0</v>
      </c>
      <c r="Q737" s="10" t="n">
        <v>120000</v>
      </c>
      <c r="R737" s="10" t="n">
        <v>503806</v>
      </c>
      <c r="S737" s="10" t="n">
        <v>0</v>
      </c>
      <c r="T737" s="7"/>
      <c r="U737" s="7"/>
      <c r="V737" s="7"/>
      <c r="W737" s="7" t="s">
        <v>49</v>
      </c>
      <c r="X737" s="7"/>
      <c r="Y737" s="7" t="s">
        <v>37</v>
      </c>
      <c r="Z737" s="7" t="s">
        <v>2697</v>
      </c>
      <c r="AA737" s="7" t="s">
        <v>2698</v>
      </c>
      <c r="AB737" s="10" t="n">
        <v>503806</v>
      </c>
      <c r="AC737" s="10" t="n">
        <v>1</v>
      </c>
    </row>
    <row r="738" customFormat="false" ht="15.75" hidden="true" customHeight="true" outlineLevel="0" collapsed="false">
      <c r="A738" s="6"/>
      <c r="B738" s="7" t="s">
        <v>1392</v>
      </c>
      <c r="C738" s="7" t="s">
        <v>60</v>
      </c>
      <c r="D738" s="7" t="s">
        <v>61</v>
      </c>
      <c r="E738" s="7" t="s">
        <v>2699</v>
      </c>
      <c r="F738" s="8" t="s">
        <v>2695</v>
      </c>
      <c r="G738" s="9" t="n">
        <f aca="false">DATE(2000+VALUE(MID(F738,7,2)),VALUE(MID(F738,4,2)),VALUE(LEFT(F738,2)))</f>
        <v>45571</v>
      </c>
      <c r="H738" s="8" t="s">
        <v>2700</v>
      </c>
      <c r="I738" s="9" t="n">
        <f aca="false">DATE(2000+VALUE(MID(H738,7,2)),VALUE(MID(H738,4,2)),VALUE(LEFT(H738,2)))</f>
        <v>45572</v>
      </c>
      <c r="J738" s="9"/>
      <c r="K738" s="10" t="n">
        <v>1167840</v>
      </c>
      <c r="L738" s="10" t="n">
        <v>0</v>
      </c>
      <c r="M738" s="10" t="n">
        <v>1167840</v>
      </c>
      <c r="N738" s="10" t="n">
        <v>0</v>
      </c>
      <c r="O738" s="10" t="n">
        <v>0</v>
      </c>
      <c r="P738" s="10" t="n">
        <v>0</v>
      </c>
      <c r="Q738" s="10" t="n">
        <v>0</v>
      </c>
      <c r="R738" s="10" t="n">
        <v>1167840</v>
      </c>
      <c r="S738" s="10" t="n">
        <v>0</v>
      </c>
      <c r="T738" s="7"/>
      <c r="U738" s="7"/>
      <c r="V738" s="7"/>
      <c r="W738" s="7" t="s">
        <v>49</v>
      </c>
      <c r="X738" s="7"/>
      <c r="Y738" s="7" t="s">
        <v>37</v>
      </c>
      <c r="Z738" s="7" t="s">
        <v>2701</v>
      </c>
      <c r="AA738" s="7" t="s">
        <v>2702</v>
      </c>
      <c r="AB738" s="10" t="n">
        <v>1167840</v>
      </c>
      <c r="AC738" s="10" t="n">
        <v>1</v>
      </c>
    </row>
    <row r="739" customFormat="false" ht="15.75" hidden="true" customHeight="true" outlineLevel="0" collapsed="false">
      <c r="A739" s="6"/>
      <c r="B739" s="7" t="s">
        <v>2405</v>
      </c>
      <c r="C739" s="7" t="s">
        <v>65</v>
      </c>
      <c r="D739" s="7" t="s">
        <v>82</v>
      </c>
      <c r="E739" s="7" t="s">
        <v>2703</v>
      </c>
      <c r="F739" s="8" t="s">
        <v>2704</v>
      </c>
      <c r="G739" s="9" t="n">
        <f aca="false">DATE(2000+VALUE(MID(F739,7,2)),VALUE(MID(F739,4,2)),VALUE(LEFT(F739,2)))</f>
        <v>45569</v>
      </c>
      <c r="H739" s="8" t="s">
        <v>2705</v>
      </c>
      <c r="I739" s="9" t="n">
        <f aca="false">DATE(2000+VALUE(MID(H739,7,2)),VALUE(MID(H739,4,2)),VALUE(LEFT(H739,2)))</f>
        <v>45573</v>
      </c>
      <c r="J739" s="9"/>
      <c r="K739" s="10" t="n">
        <v>1908000</v>
      </c>
      <c r="L739" s="10" t="n">
        <v>0</v>
      </c>
      <c r="M739" s="10" t="n">
        <v>1908000</v>
      </c>
      <c r="N739" s="10" t="n">
        <v>0</v>
      </c>
      <c r="O739" s="10" t="n">
        <v>0</v>
      </c>
      <c r="P739" s="10" t="n">
        <v>0</v>
      </c>
      <c r="Q739" s="10" t="n">
        <v>1908000</v>
      </c>
      <c r="R739" s="10" t="n">
        <v>0</v>
      </c>
      <c r="S739" s="10" t="n">
        <v>0</v>
      </c>
      <c r="T739" s="7"/>
      <c r="U739" s="7"/>
      <c r="V739" s="7"/>
      <c r="W739" s="7" t="s">
        <v>43</v>
      </c>
      <c r="X739" s="7"/>
      <c r="Y739" s="7" t="s">
        <v>37</v>
      </c>
      <c r="Z739" s="7" t="s">
        <v>2706</v>
      </c>
      <c r="AA739" s="7"/>
      <c r="AB739" s="10" t="n">
        <v>477000</v>
      </c>
      <c r="AC739" s="10" t="n">
        <v>4</v>
      </c>
    </row>
    <row r="740" customFormat="false" ht="15.75" hidden="true" customHeight="true" outlineLevel="0" collapsed="false">
      <c r="A740" s="6"/>
      <c r="B740" s="7" t="s">
        <v>2707</v>
      </c>
      <c r="C740" s="7" t="s">
        <v>65</v>
      </c>
      <c r="D740" s="7" t="s">
        <v>66</v>
      </c>
      <c r="E740" s="7" t="s">
        <v>2708</v>
      </c>
      <c r="F740" s="8" t="s">
        <v>2709</v>
      </c>
      <c r="G740" s="9" t="n">
        <f aca="false">DATE(2000+VALUE(MID(F740,7,2)),VALUE(MID(F740,4,2)),VALUE(LEFT(F740,2)))</f>
        <v>45573</v>
      </c>
      <c r="H740" s="8" t="s">
        <v>2710</v>
      </c>
      <c r="I740" s="9" t="n">
        <f aca="false">DATE(2000+VALUE(MID(H740,7,2)),VALUE(MID(H740,4,2)),VALUE(LEFT(H740,2)))</f>
        <v>45573</v>
      </c>
      <c r="J740" s="9"/>
      <c r="K740" s="10" t="n">
        <v>398650</v>
      </c>
      <c r="L740" s="10" t="n">
        <v>0</v>
      </c>
      <c r="M740" s="10" t="n">
        <v>398650</v>
      </c>
      <c r="N740" s="10" t="n">
        <v>0</v>
      </c>
      <c r="O740" s="10" t="n">
        <v>0</v>
      </c>
      <c r="P740" s="10" t="n">
        <v>0</v>
      </c>
      <c r="Q740" s="10" t="n">
        <v>0</v>
      </c>
      <c r="R740" s="10" t="n">
        <v>398650</v>
      </c>
      <c r="S740" s="10" t="n">
        <v>0</v>
      </c>
      <c r="T740" s="7"/>
      <c r="U740" s="7"/>
      <c r="V740" s="7"/>
      <c r="W740" s="7" t="s">
        <v>49</v>
      </c>
      <c r="X740" s="7"/>
      <c r="Y740" s="7" t="s">
        <v>37</v>
      </c>
      <c r="Z740" s="7" t="s">
        <v>2711</v>
      </c>
      <c r="AA740" s="7" t="s">
        <v>2712</v>
      </c>
      <c r="AB740" s="10" t="n">
        <v>398650</v>
      </c>
      <c r="AC740" s="10" t="n">
        <v>1</v>
      </c>
    </row>
    <row r="741" customFormat="false" ht="15.75" hidden="tru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13" t="n">
        <v>921979535</v>
      </c>
      <c r="L741" s="13" t="n">
        <v>21588883</v>
      </c>
      <c r="M741" s="13" t="n">
        <v>941364118</v>
      </c>
      <c r="N741" s="13" t="n">
        <v>0</v>
      </c>
      <c r="O741" s="13" t="n">
        <v>208114748</v>
      </c>
      <c r="P741" s="13" t="n">
        <v>0</v>
      </c>
      <c r="Q741" s="13" t="n">
        <v>471809031</v>
      </c>
      <c r="R741" s="13" t="n">
        <v>261440339</v>
      </c>
      <c r="S741" s="13" t="n">
        <v>0</v>
      </c>
      <c r="T741" s="6"/>
      <c r="U741" s="6"/>
      <c r="V741" s="6"/>
      <c r="W741" s="6"/>
      <c r="X741" s="6"/>
      <c r="Y741" s="6"/>
      <c r="Z741" s="6"/>
      <c r="AA741" s="6"/>
      <c r="AB741" s="13" t="n">
        <v>0</v>
      </c>
      <c r="AC741" s="13" t="n">
        <v>1535</v>
      </c>
    </row>
    <row r="742" customFormat="false" ht="15.75" hidden="true" customHeight="true" outlineLevel="0" collapsed="false">
      <c r="A742" s="14" t="s">
        <v>2713</v>
      </c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</sheetData>
  <mergeCells count="6">
    <mergeCell ref="A1:AC1"/>
    <mergeCell ref="A2:AC2"/>
    <mergeCell ref="A3:AC3"/>
    <mergeCell ref="A4:AC4"/>
    <mergeCell ref="A5:AC5"/>
    <mergeCell ref="A742:AC7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L47" activeCellId="0" sqref="L47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4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2715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2716</v>
      </c>
      <c r="F2" s="15" t="s">
        <v>2717</v>
      </c>
      <c r="G2" s="15" t="s">
        <v>2718</v>
      </c>
      <c r="H2" s="16" t="s">
        <v>2719</v>
      </c>
      <c r="I2" s="16" t="s">
        <v>2720</v>
      </c>
      <c r="J2" s="15" t="s">
        <v>2721</v>
      </c>
      <c r="K2" s="15" t="s">
        <v>2722</v>
      </c>
      <c r="L2" s="15" t="s">
        <v>2716</v>
      </c>
      <c r="M2" s="15" t="s">
        <v>2717</v>
      </c>
      <c r="N2" s="15" t="s">
        <v>2718</v>
      </c>
      <c r="O2" s="16" t="s">
        <v>2719</v>
      </c>
      <c r="P2" s="16" t="s">
        <v>2720</v>
      </c>
      <c r="Q2" s="15" t="s">
        <v>2721</v>
      </c>
      <c r="R2" s="15" t="s">
        <v>2722</v>
      </c>
      <c r="S2" s="15" t="s">
        <v>2716</v>
      </c>
      <c r="T2" s="15" t="s">
        <v>2717</v>
      </c>
      <c r="U2" s="15" t="s">
        <v>2718</v>
      </c>
      <c r="V2" s="16" t="s">
        <v>2719</v>
      </c>
      <c r="W2" s="16" t="s">
        <v>2720</v>
      </c>
      <c r="X2" s="15" t="s">
        <v>2721</v>
      </c>
      <c r="Y2" s="15" t="s">
        <v>2722</v>
      </c>
      <c r="Z2" s="15" t="s">
        <v>2716</v>
      </c>
      <c r="AA2" s="15" t="s">
        <v>2717</v>
      </c>
      <c r="AB2" s="15" t="s">
        <v>2718</v>
      </c>
      <c r="AC2" s="16" t="s">
        <v>2719</v>
      </c>
      <c r="AD2" s="16" t="s">
        <v>2720</v>
      </c>
      <c r="AE2" s="15" t="s">
        <v>2721</v>
      </c>
      <c r="AF2" s="15" t="s">
        <v>2722</v>
      </c>
      <c r="AG2" s="15" t="s">
        <v>2716</v>
      </c>
      <c r="AH2" s="15" t="s">
        <v>2717</v>
      </c>
      <c r="AI2" s="15" t="s">
        <v>2718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45413</v>
      </c>
      <c r="F3" s="19" t="n">
        <v>45414</v>
      </c>
      <c r="G3" s="19" t="n">
        <v>45415</v>
      </c>
      <c r="H3" s="19" t="n">
        <v>45416</v>
      </c>
      <c r="I3" s="19" t="n">
        <v>45417</v>
      </c>
      <c r="J3" s="19" t="n">
        <v>45418</v>
      </c>
      <c r="K3" s="19" t="n">
        <v>45419</v>
      </c>
      <c r="L3" s="19" t="n">
        <v>45420</v>
      </c>
      <c r="M3" s="19" t="n">
        <v>45421</v>
      </c>
      <c r="N3" s="19" t="n">
        <v>45422</v>
      </c>
      <c r="O3" s="19" t="n">
        <v>45423</v>
      </c>
      <c r="P3" s="19" t="n">
        <v>45424</v>
      </c>
      <c r="Q3" s="19" t="n">
        <v>45425</v>
      </c>
      <c r="R3" s="19" t="n">
        <v>45426</v>
      </c>
      <c r="S3" s="19" t="n">
        <v>45427</v>
      </c>
      <c r="T3" s="19" t="n">
        <v>45428</v>
      </c>
      <c r="U3" s="19" t="n">
        <v>45429</v>
      </c>
      <c r="V3" s="19" t="n">
        <v>45430</v>
      </c>
      <c r="W3" s="19" t="n">
        <v>45431</v>
      </c>
      <c r="X3" s="19" t="n">
        <v>45432</v>
      </c>
      <c r="Y3" s="19" t="n">
        <v>45433</v>
      </c>
      <c r="Z3" s="19" t="n">
        <v>45434</v>
      </c>
      <c r="AA3" s="19" t="n">
        <v>45435</v>
      </c>
      <c r="AB3" s="19" t="n">
        <v>45436</v>
      </c>
      <c r="AC3" s="19" t="n">
        <v>45437</v>
      </c>
      <c r="AD3" s="19" t="n">
        <v>45438</v>
      </c>
      <c r="AE3" s="19" t="n">
        <v>45439</v>
      </c>
      <c r="AF3" s="19" t="n">
        <v>45440</v>
      </c>
      <c r="AG3" s="19" t="n">
        <v>45441</v>
      </c>
      <c r="AH3" s="19" t="n">
        <v>45442</v>
      </c>
      <c r="AI3" s="19" t="n">
        <v>45443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 t="s">
        <v>43</v>
      </c>
      <c r="AG4" s="24"/>
      <c r="AH4" s="25" t="s">
        <v>43</v>
      </c>
      <c r="AI4" s="24" t="s">
        <v>43</v>
      </c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 t="s">
        <v>43</v>
      </c>
      <c r="AD5" s="24"/>
      <c r="AE5" s="24"/>
      <c r="AF5" s="24" t="s">
        <v>43</v>
      </c>
      <c r="AG5" s="24" t="s">
        <v>43</v>
      </c>
      <c r="AH5" s="24" t="s">
        <v>43</v>
      </c>
      <c r="AI5" s="24" t="s">
        <v>43</v>
      </c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 t="s">
        <v>2727</v>
      </c>
      <c r="AD6" s="24" t="s">
        <v>43</v>
      </c>
      <c r="AE6" s="24" t="s">
        <v>43</v>
      </c>
      <c r="AF6" s="24" t="s">
        <v>43</v>
      </c>
      <c r="AG6" s="24" t="s">
        <v>43</v>
      </c>
      <c r="AH6" s="24" t="s">
        <v>43</v>
      </c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43</v>
      </c>
      <c r="AD7" s="24" t="s">
        <v>43</v>
      </c>
      <c r="AE7" s="24" t="s">
        <v>43</v>
      </c>
      <c r="AF7" s="24" t="s">
        <v>43</v>
      </c>
      <c r="AG7" s="24" t="s">
        <v>2727</v>
      </c>
      <c r="AH7" s="24" t="s">
        <v>2727</v>
      </c>
      <c r="AI7" s="24" t="s">
        <v>2727</v>
      </c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7" t="s">
        <v>54</v>
      </c>
      <c r="AD8" s="7" t="s">
        <v>54</v>
      </c>
      <c r="AE8" s="7" t="s">
        <v>54</v>
      </c>
      <c r="AF8" s="7" t="s">
        <v>54</v>
      </c>
      <c r="AG8" s="7" t="s">
        <v>54</v>
      </c>
      <c r="AH8" s="24"/>
      <c r="AI8" s="24"/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7" t="s">
        <v>54</v>
      </c>
      <c r="AD9" s="24" t="s">
        <v>43</v>
      </c>
      <c r="AE9" s="24" t="s">
        <v>43</v>
      </c>
      <c r="AF9" s="24" t="s">
        <v>43</v>
      </c>
      <c r="AG9" s="24" t="s">
        <v>43</v>
      </c>
      <c r="AH9" s="24" t="s">
        <v>43</v>
      </c>
      <c r="AI9" s="24"/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 t="s">
        <v>43</v>
      </c>
      <c r="AG10" s="24" t="s">
        <v>43</v>
      </c>
      <c r="AH10" s="25" t="s">
        <v>43</v>
      </c>
      <c r="AI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 t="s">
        <v>43</v>
      </c>
      <c r="AH11" s="7" t="s">
        <v>54</v>
      </c>
      <c r="AI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 t="s">
        <v>43</v>
      </c>
      <c r="AD12" s="24"/>
      <c r="AE12" s="7" t="s">
        <v>54</v>
      </c>
      <c r="AF12" s="7" t="s">
        <v>54</v>
      </c>
      <c r="AG12" s="7" t="s">
        <v>54</v>
      </c>
      <c r="AH12" s="24"/>
      <c r="AI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 t="s">
        <v>43</v>
      </c>
      <c r="AD13" s="24" t="s">
        <v>43</v>
      </c>
      <c r="AE13" s="29" t="s">
        <v>43</v>
      </c>
      <c r="AF13" s="29" t="s">
        <v>43</v>
      </c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 t="s">
        <v>43</v>
      </c>
      <c r="AC14" s="24" t="s">
        <v>43</v>
      </c>
      <c r="AD14" s="24"/>
      <c r="AE14" s="29" t="s">
        <v>43</v>
      </c>
      <c r="AF14" s="29" t="s">
        <v>43</v>
      </c>
      <c r="AG14" s="24"/>
      <c r="AH14" s="24"/>
      <c r="AI14" s="24"/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 t="s">
        <v>43</v>
      </c>
      <c r="AD15" s="24" t="s">
        <v>2728</v>
      </c>
      <c r="AE15" s="29" t="s">
        <v>43</v>
      </c>
      <c r="AF15" s="29" t="s">
        <v>43</v>
      </c>
      <c r="AG15" s="24"/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 t="s">
        <v>2729</v>
      </c>
      <c r="F16" s="24" t="s">
        <v>2729</v>
      </c>
      <c r="G16" s="24" t="s">
        <v>2729</v>
      </c>
      <c r="H16" s="24" t="s">
        <v>2729</v>
      </c>
      <c r="I16" s="24" t="s">
        <v>2729</v>
      </c>
      <c r="J16" s="24" t="s">
        <v>2729</v>
      </c>
      <c r="K16" s="24" t="s">
        <v>2729</v>
      </c>
      <c r="L16" s="24" t="s">
        <v>2729</v>
      </c>
      <c r="M16" s="24" t="s">
        <v>2729</v>
      </c>
      <c r="N16" s="24" t="s">
        <v>2729</v>
      </c>
      <c r="O16" s="24" t="s">
        <v>2729</v>
      </c>
      <c r="P16" s="24" t="s">
        <v>2729</v>
      </c>
      <c r="Q16" s="24" t="s">
        <v>2729</v>
      </c>
      <c r="R16" s="24" t="s">
        <v>2729</v>
      </c>
      <c r="S16" s="24" t="s">
        <v>2729</v>
      </c>
      <c r="T16" s="24" t="s">
        <v>2729</v>
      </c>
      <c r="U16" s="24" t="s">
        <v>2729</v>
      </c>
      <c r="V16" s="24" t="s">
        <v>2729</v>
      </c>
      <c r="W16" s="24" t="s">
        <v>2729</v>
      </c>
      <c r="X16" s="24" t="s">
        <v>2729</v>
      </c>
      <c r="Y16" s="24" t="s">
        <v>2729</v>
      </c>
      <c r="Z16" s="24" t="s">
        <v>2729</v>
      </c>
      <c r="AA16" s="24" t="s">
        <v>2729</v>
      </c>
      <c r="AB16" s="24" t="s">
        <v>2729</v>
      </c>
      <c r="AC16" s="24" t="s">
        <v>2729</v>
      </c>
      <c r="AD16" s="24" t="s">
        <v>2729</v>
      </c>
      <c r="AE16" s="24" t="s">
        <v>2729</v>
      </c>
      <c r="AF16" s="24" t="s">
        <v>2729</v>
      </c>
      <c r="AG16" s="24" t="s">
        <v>2729</v>
      </c>
      <c r="AH16" s="24" t="s">
        <v>2729</v>
      </c>
      <c r="AI16" s="24" t="s">
        <v>2729</v>
      </c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 t="s">
        <v>2729</v>
      </c>
      <c r="F17" s="24" t="s">
        <v>2729</v>
      </c>
      <c r="G17" s="24" t="s">
        <v>2729</v>
      </c>
      <c r="H17" s="24" t="s">
        <v>2729</v>
      </c>
      <c r="I17" s="24" t="s">
        <v>2729</v>
      </c>
      <c r="J17" s="24" t="s">
        <v>2729</v>
      </c>
      <c r="K17" s="24" t="s">
        <v>2729</v>
      </c>
      <c r="L17" s="24" t="s">
        <v>2729</v>
      </c>
      <c r="M17" s="24" t="s">
        <v>2729</v>
      </c>
      <c r="N17" s="24" t="s">
        <v>2729</v>
      </c>
      <c r="O17" s="24" t="s">
        <v>2729</v>
      </c>
      <c r="P17" s="24" t="s">
        <v>2729</v>
      </c>
      <c r="Q17" s="24" t="s">
        <v>2729</v>
      </c>
      <c r="R17" s="24" t="s">
        <v>2729</v>
      </c>
      <c r="S17" s="24" t="s">
        <v>2729</v>
      </c>
      <c r="T17" s="24" t="s">
        <v>2729</v>
      </c>
      <c r="U17" s="24" t="s">
        <v>2729</v>
      </c>
      <c r="V17" s="24" t="s">
        <v>2729</v>
      </c>
      <c r="W17" s="24" t="s">
        <v>2729</v>
      </c>
      <c r="X17" s="24" t="s">
        <v>2729</v>
      </c>
      <c r="Y17" s="24" t="s">
        <v>2729</v>
      </c>
      <c r="Z17" s="24" t="s">
        <v>2729</v>
      </c>
      <c r="AA17" s="24" t="s">
        <v>2729</v>
      </c>
      <c r="AB17" s="24" t="s">
        <v>2729</v>
      </c>
      <c r="AC17" s="24" t="s">
        <v>2729</v>
      </c>
      <c r="AD17" s="24" t="s">
        <v>2729</v>
      </c>
      <c r="AE17" s="24" t="s">
        <v>2729</v>
      </c>
      <c r="AF17" s="24" t="s">
        <v>2729</v>
      </c>
      <c r="AG17" s="24" t="s">
        <v>2729</v>
      </c>
      <c r="AH17" s="24" t="s">
        <v>2729</v>
      </c>
      <c r="AI17" s="24" t="s">
        <v>2729</v>
      </c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 t="s">
        <v>2729</v>
      </c>
      <c r="F18" s="24" t="s">
        <v>2729</v>
      </c>
      <c r="G18" s="24" t="s">
        <v>2729</v>
      </c>
      <c r="H18" s="24" t="s">
        <v>2729</v>
      </c>
      <c r="I18" s="24" t="s">
        <v>2729</v>
      </c>
      <c r="J18" s="24" t="s">
        <v>2729</v>
      </c>
      <c r="K18" s="24" t="s">
        <v>2729</v>
      </c>
      <c r="L18" s="24" t="s">
        <v>2729</v>
      </c>
      <c r="M18" s="24" t="s">
        <v>2729</v>
      </c>
      <c r="N18" s="24" t="s">
        <v>2729</v>
      </c>
      <c r="O18" s="24" t="s">
        <v>2729</v>
      </c>
      <c r="P18" s="24" t="s">
        <v>2729</v>
      </c>
      <c r="Q18" s="24" t="s">
        <v>2729</v>
      </c>
      <c r="R18" s="24" t="s">
        <v>2729</v>
      </c>
      <c r="S18" s="24" t="s">
        <v>2729</v>
      </c>
      <c r="T18" s="24" t="s">
        <v>2729</v>
      </c>
      <c r="U18" s="24" t="s">
        <v>2729</v>
      </c>
      <c r="V18" s="24" t="s">
        <v>2729</v>
      </c>
      <c r="W18" s="24" t="s">
        <v>2729</v>
      </c>
      <c r="X18" s="24" t="s">
        <v>2729</v>
      </c>
      <c r="Y18" s="24" t="s">
        <v>2729</v>
      </c>
      <c r="Z18" s="24" t="s">
        <v>2729</v>
      </c>
      <c r="AA18" s="24" t="s">
        <v>2729</v>
      </c>
      <c r="AB18" s="24" t="s">
        <v>2729</v>
      </c>
      <c r="AC18" s="24" t="s">
        <v>2729</v>
      </c>
      <c r="AD18" s="24" t="s">
        <v>2729</v>
      </c>
      <c r="AE18" s="24" t="s">
        <v>2729</v>
      </c>
      <c r="AF18" s="24" t="s">
        <v>2729</v>
      </c>
      <c r="AG18" s="24" t="s">
        <v>2729</v>
      </c>
      <c r="AH18" s="24" t="s">
        <v>2729</v>
      </c>
      <c r="AI18" s="24" t="s">
        <v>2729</v>
      </c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 t="s">
        <v>43</v>
      </c>
      <c r="AC19" s="24" t="s">
        <v>43</v>
      </c>
      <c r="AD19" s="24"/>
      <c r="AE19" s="24" t="s">
        <v>2727</v>
      </c>
      <c r="AF19" s="24" t="s">
        <v>43</v>
      </c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 t="s">
        <v>2727</v>
      </c>
      <c r="AC20" s="24" t="s">
        <v>54</v>
      </c>
      <c r="AD20" s="24"/>
      <c r="AE20" s="24"/>
      <c r="AF20" s="24" t="s">
        <v>2728</v>
      </c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 t="s">
        <v>2728</v>
      </c>
      <c r="AA21" s="24"/>
      <c r="AC21" s="24"/>
      <c r="AD21" s="24"/>
      <c r="AE21" s="24"/>
      <c r="AF21" s="24" t="s">
        <v>2727</v>
      </c>
      <c r="AG21" s="24"/>
      <c r="AH21" s="24"/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36" t="s">
        <v>43</v>
      </c>
      <c r="AE22" s="24"/>
      <c r="AF22" s="24"/>
      <c r="AG22" s="24"/>
      <c r="AH22" s="24"/>
      <c r="AI22" s="24" t="s">
        <v>54</v>
      </c>
    </row>
    <row r="23" customFormat="false" ht="15.75" hidden="false" customHeight="true" outlineLevel="0" collapsed="false">
      <c r="A23" s="37" t="n">
        <v>20</v>
      </c>
      <c r="B23" s="34" t="s">
        <v>31</v>
      </c>
      <c r="C23" s="35" t="n">
        <v>703</v>
      </c>
      <c r="D23" s="23" t="n">
        <v>2</v>
      </c>
      <c r="E23" s="24" t="s">
        <v>2729</v>
      </c>
      <c r="F23" s="24" t="s">
        <v>2729</v>
      </c>
      <c r="G23" s="24" t="s">
        <v>2729</v>
      </c>
      <c r="H23" s="24" t="s">
        <v>2729</v>
      </c>
      <c r="I23" s="24" t="s">
        <v>2729</v>
      </c>
      <c r="J23" s="24" t="s">
        <v>2729</v>
      </c>
      <c r="K23" s="24" t="s">
        <v>2729</v>
      </c>
      <c r="L23" s="24" t="s">
        <v>2729</v>
      </c>
      <c r="M23" s="24" t="s">
        <v>2729</v>
      </c>
      <c r="N23" s="24" t="s">
        <v>2729</v>
      </c>
      <c r="O23" s="24" t="s">
        <v>2729</v>
      </c>
      <c r="P23" s="24" t="s">
        <v>2729</v>
      </c>
      <c r="Q23" s="24" t="s">
        <v>2729</v>
      </c>
      <c r="R23" s="24" t="s">
        <v>2729</v>
      </c>
      <c r="S23" s="24" t="s">
        <v>2729</v>
      </c>
      <c r="T23" s="24" t="s">
        <v>2729</v>
      </c>
      <c r="U23" s="24" t="s">
        <v>2729</v>
      </c>
      <c r="V23" s="24" t="s">
        <v>2729</v>
      </c>
      <c r="W23" s="24" t="s">
        <v>2729</v>
      </c>
      <c r="X23" s="24" t="s">
        <v>2729</v>
      </c>
      <c r="Y23" s="24" t="s">
        <v>2729</v>
      </c>
      <c r="Z23" s="24" t="s">
        <v>2729</v>
      </c>
      <c r="AA23" s="24" t="s">
        <v>2729</v>
      </c>
      <c r="AB23" s="24" t="s">
        <v>2729</v>
      </c>
      <c r="AC23" s="24" t="s">
        <v>2729</v>
      </c>
      <c r="AD23" s="24" t="s">
        <v>2729</v>
      </c>
      <c r="AE23" s="24" t="s">
        <v>2729</v>
      </c>
      <c r="AF23" s="24" t="s">
        <v>2729</v>
      </c>
      <c r="AG23" s="24" t="s">
        <v>2729</v>
      </c>
      <c r="AH23" s="24" t="s">
        <v>2729</v>
      </c>
      <c r="AI23" s="24" t="s">
        <v>2729</v>
      </c>
    </row>
    <row r="24" customFormat="false" ht="15.75" hidden="false" customHeight="true" outlineLevel="0" collapsed="false">
      <c r="A24" s="38" t="n">
        <v>21</v>
      </c>
      <c r="B24" s="24" t="s">
        <v>209</v>
      </c>
      <c r="C24" s="24" t="s">
        <v>209</v>
      </c>
      <c r="D24" s="39" t="n">
        <v>1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 t="s">
        <v>2728</v>
      </c>
      <c r="W24" s="24" t="s">
        <v>2728</v>
      </c>
      <c r="X24" s="24" t="s">
        <v>2728</v>
      </c>
      <c r="Y24" s="24" t="s">
        <v>2728</v>
      </c>
      <c r="Z24" s="24" t="s">
        <v>2728</v>
      </c>
      <c r="AA24" s="24" t="s">
        <v>2728</v>
      </c>
      <c r="AB24" s="24" t="s">
        <v>2728</v>
      </c>
      <c r="AC24" s="24" t="s">
        <v>2728</v>
      </c>
      <c r="AD24" s="24" t="s">
        <v>2728</v>
      </c>
      <c r="AE24" s="24" t="s">
        <v>2728</v>
      </c>
      <c r="AF24" s="24" t="s">
        <v>2728</v>
      </c>
      <c r="AG24" s="24" t="s">
        <v>2728</v>
      </c>
      <c r="AH24" s="24" t="s">
        <v>2728</v>
      </c>
      <c r="AI24" s="24" t="s">
        <v>2728</v>
      </c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24" t="s">
        <v>2740</v>
      </c>
      <c r="C29" s="24" t="n">
        <f aca="false">SUM(C30:C34)</f>
        <v>17</v>
      </c>
      <c r="D29" s="44" t="n">
        <f aca="false">C29*7</f>
        <v>119</v>
      </c>
      <c r="E29" s="24" t="n">
        <f aca="false">C29*31</f>
        <v>527</v>
      </c>
      <c r="G29" s="44"/>
      <c r="H29" s="47" t="n">
        <v>45413</v>
      </c>
      <c r="I29" s="44" t="s">
        <v>2741</v>
      </c>
      <c r="J29" s="44" t="s">
        <v>2742</v>
      </c>
      <c r="K29" s="44"/>
      <c r="L29" s="47" t="n">
        <v>45413</v>
      </c>
      <c r="M29" s="44" t="s">
        <v>2741</v>
      </c>
      <c r="N29" s="44" t="s">
        <v>2742</v>
      </c>
      <c r="Q29" s="36" t="s">
        <v>2740</v>
      </c>
      <c r="R29" s="24" t="n">
        <f aca="false">SUM(R30:R34)</f>
        <v>17</v>
      </c>
      <c r="S29" s="24" t="n">
        <f aca="false">R29*31</f>
        <v>527</v>
      </c>
      <c r="T29" s="24" t="n">
        <f aca="false">SUM(T30:T34)</f>
        <v>79</v>
      </c>
      <c r="U29" s="48" t="n">
        <f aca="false">T29/S29</f>
        <v>0.149905123339658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v>0</v>
      </c>
      <c r="I30" s="24" t="n">
        <f aca="false">COUNTA(J4:P9)</f>
        <v>0</v>
      </c>
      <c r="J30" s="24" t="n">
        <f aca="false">COUNTA(E4:AI9)</f>
        <v>32</v>
      </c>
      <c r="K30" s="24" t="s">
        <v>65</v>
      </c>
      <c r="L30" s="24" t="n">
        <f aca="false">COUNTBLANK(E4:E9)</f>
        <v>6</v>
      </c>
      <c r="M30" s="24" t="n">
        <f aca="false">COUNTBLANK(J4:P9)</f>
        <v>42</v>
      </c>
      <c r="N30" s="49" t="n">
        <f aca="false">COUNTBLANK(E4:AI9)</f>
        <v>154</v>
      </c>
      <c r="O30" s="50" t="n">
        <f aca="false">J30+N30</f>
        <v>186</v>
      </c>
      <c r="Q30" s="24" t="s">
        <v>65</v>
      </c>
      <c r="R30" s="24" t="n">
        <v>6</v>
      </c>
      <c r="S30" s="24" t="n">
        <f aca="false">R30*31</f>
        <v>186</v>
      </c>
      <c r="T30" s="24" t="n">
        <f aca="false">J30</f>
        <v>32</v>
      </c>
      <c r="U30" s="48" t="n">
        <f aca="false">T30/S30</f>
        <v>0.172043010752688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24" t="n">
        <v>0</v>
      </c>
      <c r="I31" s="24" t="n">
        <f aca="false">COUNTA(J5:P10)</f>
        <v>0</v>
      </c>
      <c r="J31" s="24" t="n">
        <f aca="false">COUNTA(E10:AI13)</f>
        <v>14</v>
      </c>
      <c r="K31" s="24" t="s">
        <v>60</v>
      </c>
      <c r="L31" s="49" t="n">
        <f aca="false">COUNTBLANK(E10:E13)</f>
        <v>4</v>
      </c>
      <c r="M31" s="24" t="n">
        <f aca="false">COUNTBLANK(J10:P13)</f>
        <v>28</v>
      </c>
      <c r="N31" s="24" t="n">
        <f aca="false">COUNTBLANK(E10:AI13)</f>
        <v>110</v>
      </c>
      <c r="O31" s="50" t="n">
        <f aca="false">J31+N31</f>
        <v>124</v>
      </c>
      <c r="Q31" s="24" t="s">
        <v>60</v>
      </c>
      <c r="R31" s="24" t="n">
        <v>4</v>
      </c>
      <c r="S31" s="24" t="n">
        <f aca="false">R31*31</f>
        <v>124</v>
      </c>
      <c r="T31" s="24" t="n">
        <f aca="false">J31</f>
        <v>14</v>
      </c>
      <c r="U31" s="48" t="n">
        <f aca="false">T31/S31</f>
        <v>0.112903225806452</v>
      </c>
    </row>
    <row r="32" customFormat="false" ht="15.75" hidden="false" customHeight="true" outlineLevel="0" collapsed="false">
      <c r="B32" s="24" t="s">
        <v>71</v>
      </c>
      <c r="C32" s="24" t="n">
        <v>2</v>
      </c>
      <c r="D32" s="44" t="n">
        <f aca="false">C32*7</f>
        <v>14</v>
      </c>
      <c r="E32" s="24" t="n">
        <f aca="false">C32*31</f>
        <v>62</v>
      </c>
      <c r="G32" s="24" t="s">
        <v>71</v>
      </c>
      <c r="H32" s="24" t="n">
        <v>0</v>
      </c>
      <c r="I32" s="24" t="n">
        <f aca="false">COUNTA(J6:P11)</f>
        <v>0</v>
      </c>
      <c r="J32" s="24" t="n">
        <f aca="false">COUNTA(E14:AI15)</f>
        <v>8</v>
      </c>
      <c r="K32" s="24" t="s">
        <v>71</v>
      </c>
      <c r="L32" s="49" t="n">
        <f aca="false">COUNTBLANK(E14:E15)</f>
        <v>2</v>
      </c>
      <c r="M32" s="24" t="n">
        <f aca="false">COUNTBLANK(J14:P15)</f>
        <v>14</v>
      </c>
      <c r="N32" s="24" t="n">
        <f aca="false">COUNTBLANK(E14:AI15)</f>
        <v>54</v>
      </c>
      <c r="O32" s="50" t="n">
        <f aca="false">J32+N32</f>
        <v>62</v>
      </c>
      <c r="Q32" s="24" t="s">
        <v>71</v>
      </c>
      <c r="R32" s="24" t="n">
        <v>2</v>
      </c>
      <c r="S32" s="24" t="n">
        <f aca="false">R32*31</f>
        <v>62</v>
      </c>
      <c r="T32" s="24" t="n">
        <f aca="false">J32</f>
        <v>8</v>
      </c>
      <c r="U32" s="48" t="n">
        <f aca="false">T32/S32</f>
        <v>0.129032258064516</v>
      </c>
    </row>
    <row r="33" customFormat="false" ht="15.75" hidden="false" customHeight="true" outlineLevel="0" collapsed="false">
      <c r="B33" s="24" t="s">
        <v>2743</v>
      </c>
      <c r="C33" s="24" t="n">
        <v>4</v>
      </c>
      <c r="D33" s="44" t="n">
        <f aca="false">C33*7</f>
        <v>28</v>
      </c>
      <c r="E33" s="24" t="n">
        <f aca="false">C33*31</f>
        <v>124</v>
      </c>
      <c r="G33" s="24" t="s">
        <v>2743</v>
      </c>
      <c r="H33" s="24" t="n">
        <v>0</v>
      </c>
      <c r="I33" s="24" t="n">
        <f aca="false">COUNTA(J7:P12)</f>
        <v>0</v>
      </c>
      <c r="J33" s="24" t="n">
        <f aca="false">COUNTA(E19:AI22)</f>
        <v>11</v>
      </c>
      <c r="K33" s="24" t="s">
        <v>2743</v>
      </c>
      <c r="L33" s="49" t="n">
        <f aca="false">COUNTBLANK(E19:E22)</f>
        <v>4</v>
      </c>
      <c r="M33" s="24" t="n">
        <f aca="false">COUNTBLANK(J19:P22)</f>
        <v>28</v>
      </c>
      <c r="N33" s="24" t="n">
        <f aca="false">COUNTBLANK(E19:AI22)</f>
        <v>113</v>
      </c>
      <c r="O33" s="50" t="n">
        <f aca="false">J33+N33</f>
        <v>124</v>
      </c>
      <c r="Q33" s="51" t="s">
        <v>2743</v>
      </c>
      <c r="R33" s="51" t="n">
        <v>4</v>
      </c>
      <c r="S33" s="24" t="n">
        <f aca="false">R33*31</f>
        <v>124</v>
      </c>
      <c r="T33" s="24" t="n">
        <f aca="false">J33</f>
        <v>11</v>
      </c>
      <c r="U33" s="48" t="n">
        <f aca="false">T33/S33</f>
        <v>0.0887096774193548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v>0</v>
      </c>
      <c r="I34" s="24" t="n">
        <f aca="false">COUNTA(J8:P13)</f>
        <v>0</v>
      </c>
      <c r="J34" s="24" t="n">
        <f aca="false">COUNTA(E24:AI24)</f>
        <v>14</v>
      </c>
      <c r="K34" s="24" t="s">
        <v>2744</v>
      </c>
      <c r="L34" s="24" t="n">
        <f aca="false">COUNTBLANK(E24)</f>
        <v>1</v>
      </c>
      <c r="M34" s="24" t="n">
        <f aca="false">COUNTBLANK(J24:P24)</f>
        <v>7</v>
      </c>
      <c r="N34" s="24" t="n">
        <f aca="false">COUNTBLANK(E24:AI24)</f>
        <v>17</v>
      </c>
      <c r="O34" s="50" t="n">
        <f aca="false">J34+N34</f>
        <v>31</v>
      </c>
      <c r="Q34" s="24" t="s">
        <v>2744</v>
      </c>
      <c r="R34" s="24" t="n">
        <v>1</v>
      </c>
      <c r="S34" s="24" t="n">
        <f aca="false">R34*31</f>
        <v>31</v>
      </c>
      <c r="T34" s="24" t="n">
        <f aca="false">J34</f>
        <v>14</v>
      </c>
      <c r="U34" s="48" t="n">
        <f aca="false">T34/S34</f>
        <v>0.451612903225806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  <c r="M37" s="53" t="s">
        <v>2746</v>
      </c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5" t="s">
        <v>2737</v>
      </c>
      <c r="N38" s="54" t="s">
        <v>2749</v>
      </c>
      <c r="O38" s="54" t="s">
        <v>2750</v>
      </c>
      <c r="P38" s="54" t="s">
        <v>2751</v>
      </c>
      <c r="Q38" s="54" t="s">
        <v>2752</v>
      </c>
      <c r="R38" s="54" t="s">
        <v>2753</v>
      </c>
      <c r="S38" s="54" t="s">
        <v>2754</v>
      </c>
      <c r="T38" s="54" t="s">
        <v>2755</v>
      </c>
      <c r="U38" s="54" t="s">
        <v>36</v>
      </c>
      <c r="V38" s="54" t="s">
        <v>2756</v>
      </c>
      <c r="W38" s="54" t="s">
        <v>2757</v>
      </c>
      <c r="X38" s="54" t="s">
        <v>2758</v>
      </c>
      <c r="Y38" s="43" t="s">
        <v>2759</v>
      </c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COUNTIF($E$4:$AI$24,B39)</f>
        <v>0</v>
      </c>
      <c r="M39" s="56" t="s">
        <v>65</v>
      </c>
      <c r="N39" s="43" t="n">
        <f aca="false">E30</f>
        <v>186</v>
      </c>
      <c r="O39" s="24" t="n">
        <f aca="false">COUNTIF($E$4:$AI$9,O44)</f>
        <v>0</v>
      </c>
      <c r="P39" s="24" t="n">
        <f aca="false">COUNTIF($E$4:$AI$9,P44)</f>
        <v>0</v>
      </c>
      <c r="Q39" s="24" t="n">
        <f aca="false">COUNTIF($E$4:$AI$9,Q44)</f>
        <v>0</v>
      </c>
      <c r="R39" s="24" t="n">
        <f aca="false">COUNTIF($E$4:$AI$9,R44)</f>
        <v>22</v>
      </c>
      <c r="S39" s="24" t="n">
        <f aca="false">COUNTIF($E$4:$AI$9,S44)</f>
        <v>4</v>
      </c>
      <c r="T39" s="24" t="n">
        <f aca="false">COUNTIF($E$4:$AI$9,T44)</f>
        <v>0</v>
      </c>
      <c r="U39" s="24" t="n">
        <f aca="false">COUNTIF($E$4:$AI$9,U44)</f>
        <v>0</v>
      </c>
      <c r="V39" s="24" t="n">
        <f aca="false">COUNTIF($E$4:$AI$9,V44)</f>
        <v>0</v>
      </c>
      <c r="W39" s="24" t="n">
        <f aca="false">COUNTIF($E$4:$AI$9,W44)</f>
        <v>0</v>
      </c>
      <c r="X39" s="24" t="n">
        <f aca="false">COUNTIF($E$4:$AI$9,X44)</f>
        <v>6</v>
      </c>
      <c r="Y39" s="24" t="n">
        <f aca="false">COUNTIF($E$4:$AI$9,Y44)</f>
        <v>0</v>
      </c>
      <c r="Z39" s="50" t="n">
        <f aca="false">SUM(O39:Y39)</f>
        <v>32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COUNTIF($E$4:$AI$24,B40)</f>
        <v>0</v>
      </c>
      <c r="M40" s="56" t="s">
        <v>60</v>
      </c>
      <c r="N40" s="43" t="n">
        <f aca="false">E31</f>
        <v>124</v>
      </c>
      <c r="O40" s="24" t="n">
        <f aca="false">COUNTIF($E$10:$AI$13,O44)</f>
        <v>0</v>
      </c>
      <c r="P40" s="24" t="n">
        <f aca="false">COUNTIF($E$10:$AI$13,P44)</f>
        <v>0</v>
      </c>
      <c r="Q40" s="24" t="n">
        <f aca="false">COUNTIF($E$10:$AI$13,Q44)</f>
        <v>0</v>
      </c>
      <c r="R40" s="24" t="n">
        <f aca="false">COUNTIF($E$10:$AI$13,R44)</f>
        <v>10</v>
      </c>
      <c r="S40" s="24" t="n">
        <f aca="false">COUNTIF($E$10:$AI$13,S44)</f>
        <v>0</v>
      </c>
      <c r="T40" s="24" t="n">
        <f aca="false">COUNTIF($E$10:$AI$13,T44)</f>
        <v>0</v>
      </c>
      <c r="U40" s="24" t="n">
        <f aca="false">COUNTIF($E$10:$AI$13,U44)</f>
        <v>0</v>
      </c>
      <c r="V40" s="24" t="n">
        <f aca="false">COUNTIF($E$10:$AI$13,V44)</f>
        <v>0</v>
      </c>
      <c r="W40" s="24" t="n">
        <f aca="false">COUNTIF($E$10:$AI$13,W44)</f>
        <v>0</v>
      </c>
      <c r="X40" s="24" t="n">
        <f aca="false">COUNTIF($E$10:$AI$13,X44)</f>
        <v>4</v>
      </c>
      <c r="Y40" s="24" t="n">
        <f aca="false">COUNTIF($E$10:$AI$13,Y44)</f>
        <v>0</v>
      </c>
      <c r="Z40" s="50" t="n">
        <f aca="false">SUM(O40:Y40)</f>
        <v>14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COUNTIF($E$4:$AI$24,B41)</f>
        <v>0</v>
      </c>
      <c r="M41" s="56" t="s">
        <v>71</v>
      </c>
      <c r="N41" s="43" t="n">
        <f aca="false">E32</f>
        <v>62</v>
      </c>
      <c r="O41" s="24" t="n">
        <f aca="false">COUNTIF($E$14:$AH$15,O44)</f>
        <v>0</v>
      </c>
      <c r="P41" s="24" t="n">
        <f aca="false">COUNTIF($E$14:$AH$15,P44)</f>
        <v>0</v>
      </c>
      <c r="Q41" s="24" t="n">
        <f aca="false">COUNTIF($E$14:$AH$15,Q44)</f>
        <v>0</v>
      </c>
      <c r="R41" s="24" t="n">
        <f aca="false">COUNTIF($E$14:$AH$15,R44)</f>
        <v>7</v>
      </c>
      <c r="S41" s="24" t="n">
        <f aca="false">COUNTIF($E$14:$AH$15,S44)</f>
        <v>0</v>
      </c>
      <c r="T41" s="24" t="n">
        <f aca="false">COUNTIF($E$14:$AH$15,T44)</f>
        <v>0</v>
      </c>
      <c r="U41" s="24" t="n">
        <f aca="false">COUNTIF($E$14:$AH$15,U44)</f>
        <v>1</v>
      </c>
      <c r="V41" s="24" t="n">
        <f aca="false">COUNTIF($E$14:$AH$15,V44)</f>
        <v>0</v>
      </c>
      <c r="W41" s="24" t="n">
        <f aca="false">COUNTIF($E$14:$AH$15,W44)</f>
        <v>0</v>
      </c>
      <c r="X41" s="24" t="n">
        <f aca="false">COUNTIF($E$14:$AH$15,X44)</f>
        <v>0</v>
      </c>
      <c r="Y41" s="24" t="n">
        <f aca="false">COUNTIF($E$14:$AH$15,Y44)</f>
        <v>0</v>
      </c>
      <c r="Z41" s="50" t="n">
        <f aca="false">SUM(O41:Y41)</f>
        <v>8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COUNTIF($E$4:$AI$24,B42)</f>
        <v>43</v>
      </c>
      <c r="M42" s="57" t="s">
        <v>2743</v>
      </c>
      <c r="N42" s="43" t="n">
        <f aca="false">E33</f>
        <v>124</v>
      </c>
      <c r="O42" s="24" t="n">
        <f aca="false">COUNTIF($E$19:$AI$22,O44)</f>
        <v>0</v>
      </c>
      <c r="P42" s="24" t="n">
        <f aca="false">COUNTIF($E$19:$AI$22,P44)</f>
        <v>0</v>
      </c>
      <c r="Q42" s="24" t="n">
        <f aca="false">COUNTIF($E$19:$AI$22,Q44)</f>
        <v>0</v>
      </c>
      <c r="R42" s="24" t="n">
        <f aca="false">COUNTIF($E$19:$AI$22,R44)</f>
        <v>4</v>
      </c>
      <c r="S42" s="24" t="n">
        <f aca="false">COUNTIF($E$19:$AI$22,S44)</f>
        <v>3</v>
      </c>
      <c r="T42" s="24" t="n">
        <f aca="false">COUNTIF($E$19:$AI$22,T44)</f>
        <v>0</v>
      </c>
      <c r="U42" s="24" t="n">
        <f aca="false">COUNTIF($E$19:$AI$22,U44)</f>
        <v>2</v>
      </c>
      <c r="V42" s="24" t="n">
        <f aca="false">COUNTIF($E$19:$AI$22,V44)</f>
        <v>0</v>
      </c>
      <c r="W42" s="24" t="n">
        <f aca="false">COUNTIF($E$19:$AI$22,W44)</f>
        <v>0</v>
      </c>
      <c r="X42" s="24" t="n">
        <f aca="false">COUNTIF($E$19:$AI$22,X44)</f>
        <v>2</v>
      </c>
      <c r="Y42" s="24" t="n">
        <f aca="false">COUNTIF($E$19:$AI$22,Y44)</f>
        <v>0</v>
      </c>
      <c r="Z42" s="50" t="n">
        <f aca="false">SUM(O42:Y42)</f>
        <v>11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COUNTIF($E$4:$AI$24,B43)</f>
        <v>7</v>
      </c>
      <c r="M43" s="56" t="s">
        <v>2744</v>
      </c>
      <c r="N43" s="43" t="n">
        <f aca="false">E34</f>
        <v>31</v>
      </c>
      <c r="O43" s="24" t="n">
        <f aca="false">COUNTIF($E$24:$AI$24,O44)</f>
        <v>0</v>
      </c>
      <c r="P43" s="24" t="n">
        <f aca="false">COUNTIF($E$24:$AI$24,P44)</f>
        <v>0</v>
      </c>
      <c r="Q43" s="24" t="n">
        <f aca="false">COUNTIF($E$24:$AI$24,Q44)</f>
        <v>0</v>
      </c>
      <c r="R43" s="24" t="n">
        <f aca="false">COUNTIF($E$24:$AI$24,R44)</f>
        <v>0</v>
      </c>
      <c r="S43" s="24" t="n">
        <f aca="false">COUNTIF($E$24:$AI$24,S44)</f>
        <v>0</v>
      </c>
      <c r="T43" s="24" t="n">
        <f aca="false">COUNTIF($E$24:$AI$24,T44)</f>
        <v>0</v>
      </c>
      <c r="U43" s="24" t="n">
        <f aca="false">COUNTIF($E$24:$AI$24,U44)</f>
        <v>14</v>
      </c>
      <c r="V43" s="24" t="n">
        <f aca="false">COUNTIF($E$24:$AI$24,V44)</f>
        <v>0</v>
      </c>
      <c r="W43" s="24" t="n">
        <f aca="false">COUNTIF($E$24:$AI$24,W44)</f>
        <v>0</v>
      </c>
      <c r="X43" s="24" t="n">
        <f aca="false">COUNTIF($E$24:$AI$24,X44)</f>
        <v>0</v>
      </c>
      <c r="Y43" s="24" t="n">
        <f aca="false">COUNTIF($E$24:$AI$24,Y44)</f>
        <v>0</v>
      </c>
      <c r="Z43" s="50" t="n">
        <f aca="false">SUM(O43:Y43)</f>
        <v>14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COUNTIF($E$4:$AI$24,B44)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  <c r="Z44" s="50" t="n">
        <f aca="false">SUM(Z39:Z43)</f>
        <v>79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COUNTIF($E$4:$AI$24,B45)</f>
        <v>17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COUNTIF($E$4:$AI$24,B46)</f>
        <v>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COUNTIF($E$4:$AI$24,B47)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COUNTIF($E$4:$AI$24,B48)</f>
        <v>12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0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7:Y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14.51"/>
    <col collapsed="false" customWidth="true" hidden="false" outlineLevel="0" max="3" min="3" style="1" width="8.16"/>
    <col collapsed="false" customWidth="true" hidden="false" outlineLevel="0" max="4" min="4" style="1" width="11.67"/>
    <col collapsed="false" customWidth="true" hidden="false" outlineLevel="0" max="34" min="5" style="1" width="12.16"/>
  </cols>
  <sheetData>
    <row r="2" customFormat="false" ht="15" hidden="false" customHeight="false" outlineLevel="0" collapsed="false">
      <c r="A2" s="58" t="s">
        <v>2723</v>
      </c>
      <c r="B2" s="54" t="s">
        <v>2724</v>
      </c>
      <c r="C2" s="54" t="s">
        <v>2725</v>
      </c>
      <c r="D2" s="54" t="s">
        <v>2726</v>
      </c>
      <c r="E2" s="59" t="n">
        <v>45444</v>
      </c>
      <c r="F2" s="59" t="n">
        <v>45445</v>
      </c>
      <c r="G2" s="59" t="n">
        <v>45446</v>
      </c>
      <c r="H2" s="59" t="n">
        <v>45447</v>
      </c>
      <c r="I2" s="59" t="n">
        <v>45448</v>
      </c>
      <c r="J2" s="59" t="n">
        <v>45449</v>
      </c>
      <c r="K2" s="59" t="n">
        <v>45450</v>
      </c>
      <c r="L2" s="59" t="n">
        <v>45451</v>
      </c>
      <c r="M2" s="59" t="n">
        <v>45452</v>
      </c>
      <c r="N2" s="59" t="n">
        <v>45453</v>
      </c>
      <c r="O2" s="59" t="n">
        <v>45454</v>
      </c>
      <c r="P2" s="59" t="n">
        <v>45455</v>
      </c>
      <c r="Q2" s="59" t="n">
        <v>45456</v>
      </c>
      <c r="R2" s="59" t="n">
        <v>45457</v>
      </c>
      <c r="S2" s="59" t="n">
        <v>45458</v>
      </c>
      <c r="T2" s="59" t="n">
        <v>45459</v>
      </c>
      <c r="U2" s="59" t="n">
        <v>45460</v>
      </c>
      <c r="V2" s="59" t="n">
        <v>45461</v>
      </c>
      <c r="W2" s="59" t="n">
        <v>45462</v>
      </c>
      <c r="X2" s="59" t="n">
        <v>45463</v>
      </c>
      <c r="Y2" s="59" t="n">
        <v>45464</v>
      </c>
      <c r="Z2" s="59" t="n">
        <v>45465</v>
      </c>
      <c r="AA2" s="59" t="n">
        <v>45466</v>
      </c>
      <c r="AB2" s="59" t="n">
        <v>45467</v>
      </c>
      <c r="AC2" s="59" t="n">
        <v>45468</v>
      </c>
      <c r="AD2" s="59" t="n">
        <v>45469</v>
      </c>
      <c r="AE2" s="59" t="n">
        <v>45470</v>
      </c>
      <c r="AF2" s="59" t="n">
        <v>45471</v>
      </c>
      <c r="AG2" s="59" t="n">
        <v>45472</v>
      </c>
      <c r="AH2" s="59" t="n">
        <v>45473</v>
      </c>
    </row>
    <row r="3" customFormat="false" ht="15" hidden="false" customHeight="false" outlineLevel="0" collapsed="false">
      <c r="A3" s="20" t="n">
        <v>1</v>
      </c>
      <c r="B3" s="20" t="s">
        <v>65</v>
      </c>
      <c r="C3" s="60" t="n">
        <v>101</v>
      </c>
      <c r="D3" s="23" t="n">
        <v>2</v>
      </c>
      <c r="E3" s="24" t="s">
        <v>43</v>
      </c>
      <c r="F3" s="38"/>
      <c r="G3" s="38"/>
      <c r="H3" s="38"/>
      <c r="I3" s="38"/>
      <c r="J3" s="38"/>
      <c r="K3" s="38"/>
      <c r="L3" s="38"/>
      <c r="M3" s="61" t="s">
        <v>43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</row>
    <row r="4" customFormat="false" ht="15" hidden="false" customHeight="false" outlineLevel="0" collapsed="false">
      <c r="A4" s="20" t="n">
        <v>2</v>
      </c>
      <c r="B4" s="20" t="s">
        <v>65</v>
      </c>
      <c r="C4" s="60" t="n">
        <v>201</v>
      </c>
      <c r="D4" s="23" t="n">
        <v>2</v>
      </c>
      <c r="E4" s="24" t="s">
        <v>43</v>
      </c>
      <c r="F4" s="38"/>
      <c r="G4" s="38"/>
      <c r="H4" s="38"/>
      <c r="I4" s="38"/>
      <c r="J4" s="61" t="s">
        <v>49</v>
      </c>
      <c r="K4" s="38"/>
      <c r="L4" s="38"/>
      <c r="M4" s="38"/>
      <c r="N4" s="61" t="s">
        <v>43</v>
      </c>
      <c r="O4" s="38"/>
      <c r="P4" s="38"/>
      <c r="Q4" s="61" t="s">
        <v>43</v>
      </c>
      <c r="R4" s="38"/>
      <c r="S4" s="61" t="s">
        <v>43</v>
      </c>
      <c r="T4" s="38"/>
      <c r="U4" s="38"/>
      <c r="V4" s="38"/>
      <c r="W4" s="61" t="s">
        <v>43</v>
      </c>
      <c r="X4" s="61" t="s">
        <v>49</v>
      </c>
      <c r="Y4" s="38"/>
      <c r="Z4" s="61" t="s">
        <v>43</v>
      </c>
      <c r="AA4" s="38"/>
      <c r="AB4" s="38"/>
      <c r="AC4" s="38"/>
      <c r="AD4" s="38"/>
      <c r="AE4" s="61" t="s">
        <v>43</v>
      </c>
      <c r="AF4" s="38"/>
      <c r="AG4" s="61" t="s">
        <v>49</v>
      </c>
      <c r="AH4" s="38"/>
    </row>
    <row r="5" customFormat="false" ht="31.5" hidden="false" customHeight="true" outlineLevel="0" collapsed="false">
      <c r="A5" s="20" t="n">
        <v>3</v>
      </c>
      <c r="B5" s="20" t="s">
        <v>65</v>
      </c>
      <c r="C5" s="60" t="n">
        <v>301</v>
      </c>
      <c r="D5" s="23" t="n">
        <v>2</v>
      </c>
      <c r="E5" s="61" t="s">
        <v>49</v>
      </c>
      <c r="F5" s="38"/>
      <c r="G5" s="38"/>
      <c r="H5" s="61" t="s">
        <v>43</v>
      </c>
      <c r="I5" s="38"/>
      <c r="J5" s="38"/>
      <c r="K5" s="38"/>
      <c r="L5" s="61" t="s">
        <v>43</v>
      </c>
      <c r="M5" s="62" t="s">
        <v>2767</v>
      </c>
      <c r="N5" s="63" t="s">
        <v>43</v>
      </c>
      <c r="O5" s="38"/>
      <c r="P5" s="38"/>
      <c r="Q5" s="63" t="s">
        <v>43</v>
      </c>
      <c r="R5" s="64" t="s">
        <v>2768</v>
      </c>
      <c r="S5" s="38"/>
      <c r="T5" s="38"/>
      <c r="U5" s="63" t="s">
        <v>49</v>
      </c>
      <c r="V5" s="38"/>
      <c r="W5" s="38"/>
      <c r="X5" s="63" t="s">
        <v>49</v>
      </c>
      <c r="Y5" s="38"/>
      <c r="Z5" s="38"/>
      <c r="AA5" s="38"/>
      <c r="AB5" s="38"/>
      <c r="AC5" s="38"/>
      <c r="AD5" s="38"/>
      <c r="AE5" s="63" t="s">
        <v>43</v>
      </c>
      <c r="AF5" s="38"/>
      <c r="AG5" s="38"/>
      <c r="AH5" s="38"/>
    </row>
    <row r="6" customFormat="false" ht="15" hidden="false" customHeight="false" outlineLevel="0" collapsed="false">
      <c r="A6" s="20" t="n">
        <v>4</v>
      </c>
      <c r="B6" s="20" t="s">
        <v>65</v>
      </c>
      <c r="C6" s="60" t="n">
        <v>401</v>
      </c>
      <c r="D6" s="23" t="n">
        <v>2</v>
      </c>
      <c r="E6" s="61" t="s">
        <v>43</v>
      </c>
      <c r="F6" s="61" t="s">
        <v>43</v>
      </c>
      <c r="G6" s="38"/>
      <c r="H6" s="61" t="s">
        <v>43</v>
      </c>
      <c r="I6" s="38"/>
      <c r="J6" s="38"/>
      <c r="K6" s="38"/>
      <c r="L6" s="61" t="s">
        <v>43</v>
      </c>
      <c r="M6" s="38"/>
      <c r="N6" s="38"/>
      <c r="O6" s="38"/>
      <c r="P6" s="61" t="s">
        <v>43</v>
      </c>
      <c r="Q6" s="61" t="s">
        <v>43</v>
      </c>
      <c r="R6" s="38"/>
      <c r="S6" s="38"/>
      <c r="T6" s="38"/>
      <c r="U6" s="38"/>
      <c r="V6" s="38"/>
      <c r="W6" s="61" t="s">
        <v>43</v>
      </c>
      <c r="X6" s="38"/>
      <c r="Y6" s="61" t="s">
        <v>43</v>
      </c>
      <c r="Z6" s="38"/>
      <c r="AA6" s="61" t="s">
        <v>43</v>
      </c>
      <c r="AB6" s="61" t="s">
        <v>43</v>
      </c>
      <c r="AC6" s="38"/>
      <c r="AD6" s="61" t="s">
        <v>49</v>
      </c>
      <c r="AE6" s="38"/>
      <c r="AF6" s="38"/>
      <c r="AG6" s="61" t="s">
        <v>49</v>
      </c>
      <c r="AH6" s="61" t="s">
        <v>43</v>
      </c>
    </row>
    <row r="7" customFormat="false" ht="30.75" hidden="false" customHeight="true" outlineLevel="0" collapsed="false">
      <c r="A7" s="20" t="n">
        <v>5</v>
      </c>
      <c r="B7" s="20" t="s">
        <v>65</v>
      </c>
      <c r="C7" s="60" t="n">
        <v>501</v>
      </c>
      <c r="D7" s="23" t="n">
        <v>2</v>
      </c>
      <c r="E7" s="61" t="s">
        <v>49</v>
      </c>
      <c r="F7" s="38"/>
      <c r="G7" s="38"/>
      <c r="H7" s="61" t="s">
        <v>43</v>
      </c>
      <c r="I7" s="38"/>
      <c r="J7" s="61" t="s">
        <v>43</v>
      </c>
      <c r="K7" s="38"/>
      <c r="L7" s="61" t="s">
        <v>43</v>
      </c>
      <c r="M7" s="61" t="s">
        <v>43</v>
      </c>
      <c r="N7" s="61"/>
      <c r="O7" s="61"/>
      <c r="P7" s="61" t="s">
        <v>43</v>
      </c>
      <c r="Q7" s="61" t="s">
        <v>43</v>
      </c>
      <c r="R7" s="61"/>
      <c r="S7" s="61" t="s">
        <v>43</v>
      </c>
      <c r="T7" s="61" t="s">
        <v>49</v>
      </c>
      <c r="U7" s="61"/>
      <c r="V7" s="61"/>
      <c r="W7" s="65" t="s">
        <v>2769</v>
      </c>
      <c r="X7" s="38"/>
      <c r="Y7" s="61" t="s">
        <v>43</v>
      </c>
      <c r="Z7" s="38"/>
      <c r="AA7" s="61" t="s">
        <v>43</v>
      </c>
      <c r="AB7" s="66"/>
      <c r="AC7" s="61" t="s">
        <v>43</v>
      </c>
      <c r="AD7" s="38"/>
      <c r="AE7" s="61"/>
      <c r="AF7" s="38"/>
      <c r="AG7" s="38"/>
      <c r="AH7" s="61"/>
    </row>
    <row r="8" customFormat="false" ht="30.75" hidden="false" customHeight="true" outlineLevel="0" collapsed="false">
      <c r="A8" s="20" t="n">
        <v>6</v>
      </c>
      <c r="B8" s="20" t="s">
        <v>65</v>
      </c>
      <c r="C8" s="60" t="n">
        <v>601</v>
      </c>
      <c r="D8" s="23" t="n">
        <v>2</v>
      </c>
      <c r="E8" s="38"/>
      <c r="F8" s="61" t="s">
        <v>43</v>
      </c>
      <c r="G8" s="38"/>
      <c r="H8" s="61" t="s">
        <v>43</v>
      </c>
      <c r="I8" s="38"/>
      <c r="J8" s="65" t="s">
        <v>2769</v>
      </c>
      <c r="K8" s="61" t="s">
        <v>43</v>
      </c>
      <c r="L8" s="38"/>
      <c r="M8" s="61" t="s">
        <v>43</v>
      </c>
      <c r="N8" s="38"/>
      <c r="O8" s="38"/>
      <c r="P8" s="38"/>
      <c r="Q8" s="61" t="s">
        <v>43</v>
      </c>
      <c r="R8" s="38"/>
      <c r="S8" s="63" t="s">
        <v>49</v>
      </c>
      <c r="T8" s="61" t="s">
        <v>54</v>
      </c>
      <c r="U8" s="63" t="s">
        <v>49</v>
      </c>
      <c r="V8" s="38"/>
      <c r="W8" s="61" t="s">
        <v>43</v>
      </c>
      <c r="X8" s="38"/>
      <c r="Y8" s="38"/>
      <c r="Z8" s="63" t="s">
        <v>49</v>
      </c>
      <c r="AA8" s="38"/>
      <c r="AB8" s="38"/>
      <c r="AC8" s="38"/>
      <c r="AD8" s="38"/>
      <c r="AE8" s="38"/>
      <c r="AF8" s="38"/>
      <c r="AG8" s="38"/>
      <c r="AH8" s="38"/>
    </row>
    <row r="9" customFormat="false" ht="30.75" hidden="false" customHeight="true" outlineLevel="0" collapsed="false">
      <c r="A9" s="26" t="n">
        <v>7</v>
      </c>
      <c r="B9" s="26" t="s">
        <v>60</v>
      </c>
      <c r="C9" s="67" t="n">
        <v>102</v>
      </c>
      <c r="D9" s="23" t="n">
        <v>2</v>
      </c>
      <c r="E9" s="66"/>
      <c r="F9" s="61" t="s">
        <v>43</v>
      </c>
      <c r="G9" s="38"/>
      <c r="H9" s="61" t="s">
        <v>43</v>
      </c>
      <c r="I9" s="38"/>
      <c r="J9" s="61"/>
      <c r="K9" s="61" t="s">
        <v>49</v>
      </c>
      <c r="L9" s="38"/>
      <c r="M9" s="38"/>
      <c r="N9" s="61"/>
      <c r="O9" s="38"/>
      <c r="P9" s="38"/>
      <c r="Q9" s="65" t="s">
        <v>2767</v>
      </c>
      <c r="R9" s="38"/>
      <c r="S9" s="63" t="s">
        <v>43</v>
      </c>
      <c r="T9" s="38"/>
      <c r="U9" s="38"/>
      <c r="V9" s="38"/>
      <c r="W9" s="61"/>
      <c r="X9" s="61"/>
      <c r="Y9" s="38"/>
      <c r="Z9" s="61"/>
      <c r="AA9" s="38"/>
      <c r="AB9" s="63" t="s">
        <v>43</v>
      </c>
      <c r="AC9" s="38"/>
      <c r="AD9" s="38"/>
      <c r="AE9" s="63" t="s">
        <v>43</v>
      </c>
      <c r="AF9" s="38"/>
      <c r="AG9" s="63" t="s">
        <v>43</v>
      </c>
      <c r="AH9" s="38"/>
    </row>
    <row r="10" customFormat="false" ht="31.5" hidden="false" customHeight="true" outlineLevel="0" collapsed="false">
      <c r="A10" s="26" t="n">
        <v>8</v>
      </c>
      <c r="B10" s="26" t="s">
        <v>60</v>
      </c>
      <c r="C10" s="67" t="n">
        <v>202</v>
      </c>
      <c r="D10" s="23" t="n">
        <v>2</v>
      </c>
      <c r="E10" s="38"/>
      <c r="F10" s="38"/>
      <c r="G10" s="38"/>
      <c r="H10" s="61" t="s">
        <v>43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61" t="s">
        <v>43</v>
      </c>
      <c r="V10" s="38"/>
      <c r="W10" s="38"/>
      <c r="X10" s="61" t="s">
        <v>43</v>
      </c>
      <c r="Y10" s="61" t="s">
        <v>43</v>
      </c>
      <c r="Z10" s="38"/>
      <c r="AA10" s="38"/>
      <c r="AB10" s="38"/>
      <c r="AC10" s="68" t="s">
        <v>2767</v>
      </c>
      <c r="AD10" s="63" t="s">
        <v>43</v>
      </c>
      <c r="AE10" s="38"/>
      <c r="AF10" s="38"/>
      <c r="AG10" s="38"/>
      <c r="AH10" s="38"/>
    </row>
    <row r="11" customFormat="false" ht="15" hidden="false" customHeight="false" outlineLevel="0" collapsed="false">
      <c r="A11" s="26" t="n">
        <v>9</v>
      </c>
      <c r="B11" s="26" t="s">
        <v>60</v>
      </c>
      <c r="C11" s="67" t="n">
        <v>302</v>
      </c>
      <c r="D11" s="23" t="n">
        <v>2</v>
      </c>
      <c r="E11" s="24" t="s">
        <v>43</v>
      </c>
      <c r="F11" s="61" t="s">
        <v>49</v>
      </c>
      <c r="G11" s="38"/>
      <c r="H11" s="38"/>
      <c r="I11" s="38"/>
      <c r="J11" s="61" t="s">
        <v>43</v>
      </c>
      <c r="K11" s="38"/>
      <c r="L11" s="61" t="s">
        <v>43</v>
      </c>
      <c r="M11" s="38"/>
      <c r="N11" s="38"/>
      <c r="O11" s="61" t="s">
        <v>43</v>
      </c>
      <c r="P11" s="61" t="s">
        <v>49</v>
      </c>
      <c r="Q11" s="38"/>
      <c r="R11" s="38"/>
      <c r="S11" s="61" t="s">
        <v>49</v>
      </c>
      <c r="T11" s="38"/>
      <c r="U11" s="38"/>
      <c r="V11" s="61" t="s">
        <v>43</v>
      </c>
      <c r="W11" s="38"/>
      <c r="X11" s="38"/>
      <c r="Y11" s="61" t="s">
        <v>43</v>
      </c>
      <c r="Z11" s="38"/>
      <c r="AA11" s="61" t="s">
        <v>43</v>
      </c>
      <c r="AB11" s="38"/>
      <c r="AC11" s="61" t="s">
        <v>43</v>
      </c>
      <c r="AD11" s="38"/>
      <c r="AE11" s="61" t="s">
        <v>43</v>
      </c>
      <c r="AF11" s="61" t="s">
        <v>49</v>
      </c>
      <c r="AG11" s="38"/>
      <c r="AH11" s="61" t="s">
        <v>43</v>
      </c>
    </row>
    <row r="12" customFormat="false" ht="15" hidden="false" customHeight="false" outlineLevel="0" collapsed="false">
      <c r="A12" s="26" t="n">
        <v>10</v>
      </c>
      <c r="B12" s="26" t="s">
        <v>60</v>
      </c>
      <c r="C12" s="67" t="n">
        <v>402</v>
      </c>
      <c r="D12" s="23" t="n">
        <v>2</v>
      </c>
      <c r="E12" s="38"/>
      <c r="F12" s="38"/>
      <c r="G12" s="38"/>
      <c r="H12" s="38"/>
      <c r="I12" s="38"/>
      <c r="J12" s="38"/>
      <c r="K12" s="61" t="s">
        <v>43</v>
      </c>
      <c r="L12" s="38"/>
      <c r="M12" s="38"/>
      <c r="N12" s="38"/>
      <c r="O12" s="61" t="s">
        <v>43</v>
      </c>
      <c r="P12" s="61" t="s">
        <v>43</v>
      </c>
      <c r="Q12" s="61" t="s">
        <v>43</v>
      </c>
      <c r="R12" s="38"/>
      <c r="S12" s="38"/>
      <c r="T12" s="38"/>
      <c r="U12" s="38"/>
      <c r="V12" s="38"/>
      <c r="W12" s="38"/>
      <c r="X12" s="61" t="s">
        <v>43</v>
      </c>
      <c r="Y12" s="38"/>
      <c r="Z12" s="61" t="s">
        <v>49</v>
      </c>
      <c r="AA12" s="38"/>
      <c r="AB12" s="38"/>
      <c r="AC12" s="38"/>
      <c r="AD12" s="38" t="s">
        <v>2770</v>
      </c>
      <c r="AE12" s="61" t="s">
        <v>49</v>
      </c>
      <c r="AF12" s="38"/>
      <c r="AG12" s="61" t="s">
        <v>43</v>
      </c>
      <c r="AH12" s="61" t="s">
        <v>43</v>
      </c>
    </row>
    <row r="13" customFormat="false" ht="30.75" hidden="false" customHeight="true" outlineLevel="0" collapsed="false">
      <c r="A13" s="30" t="n">
        <v>11</v>
      </c>
      <c r="B13" s="30" t="s">
        <v>71</v>
      </c>
      <c r="C13" s="69" t="n">
        <v>502</v>
      </c>
      <c r="D13" s="23" t="n">
        <v>2</v>
      </c>
      <c r="E13" s="61" t="s">
        <v>54</v>
      </c>
      <c r="F13" s="38"/>
      <c r="G13" s="38"/>
      <c r="H13" s="61" t="s">
        <v>43</v>
      </c>
      <c r="I13" s="38"/>
      <c r="J13" s="65" t="s">
        <v>2769</v>
      </c>
      <c r="K13" s="38"/>
      <c r="L13" s="61" t="s">
        <v>43</v>
      </c>
      <c r="M13" s="38"/>
      <c r="N13" s="63" t="s">
        <v>49</v>
      </c>
      <c r="O13" s="61" t="s">
        <v>43</v>
      </c>
      <c r="P13" s="38"/>
      <c r="Q13" s="61" t="s">
        <v>43</v>
      </c>
      <c r="R13" s="61" t="s">
        <v>43</v>
      </c>
      <c r="S13" s="38"/>
      <c r="T13" s="38"/>
      <c r="U13" s="38"/>
      <c r="V13" s="38"/>
      <c r="W13" s="38"/>
      <c r="X13" s="63" t="s">
        <v>49</v>
      </c>
      <c r="Y13" s="38"/>
      <c r="Z13" s="38"/>
      <c r="AA13" s="63" t="s">
        <v>49</v>
      </c>
      <c r="AB13" s="38"/>
      <c r="AC13" s="38"/>
      <c r="AD13" s="38"/>
      <c r="AE13" s="63" t="s">
        <v>49</v>
      </c>
      <c r="AF13" s="61" t="s">
        <v>43</v>
      </c>
      <c r="AG13" s="61" t="s">
        <v>43</v>
      </c>
      <c r="AH13" s="38"/>
    </row>
    <row r="14" customFormat="false" ht="15" hidden="false" customHeight="false" outlineLevel="0" collapsed="false">
      <c r="A14" s="30" t="n">
        <v>12</v>
      </c>
      <c r="B14" s="30" t="s">
        <v>71</v>
      </c>
      <c r="C14" s="69" t="n">
        <v>602</v>
      </c>
      <c r="D14" s="23" t="n">
        <v>2</v>
      </c>
      <c r="E14" s="38"/>
      <c r="F14" s="61" t="s">
        <v>49</v>
      </c>
      <c r="G14" s="38"/>
      <c r="H14" s="38"/>
      <c r="I14" s="38"/>
      <c r="J14" s="61" t="s">
        <v>49</v>
      </c>
      <c r="K14" s="38"/>
      <c r="L14" s="38"/>
      <c r="M14" s="61" t="s">
        <v>43</v>
      </c>
      <c r="N14" s="61" t="s">
        <v>49</v>
      </c>
      <c r="O14" s="38"/>
      <c r="P14" s="61" t="s">
        <v>49</v>
      </c>
      <c r="Q14" s="61" t="s">
        <v>49</v>
      </c>
      <c r="R14" s="61" t="s">
        <v>43</v>
      </c>
      <c r="S14" s="38"/>
      <c r="T14" s="38"/>
      <c r="U14" s="61" t="s">
        <v>43</v>
      </c>
      <c r="V14" s="38"/>
      <c r="W14" s="38"/>
      <c r="X14" s="61" t="s">
        <v>49</v>
      </c>
      <c r="Y14" s="38"/>
      <c r="Z14" s="61" t="s">
        <v>49</v>
      </c>
      <c r="AA14" s="61" t="s">
        <v>43</v>
      </c>
      <c r="AB14" s="38"/>
      <c r="AC14" s="61" t="s">
        <v>43</v>
      </c>
      <c r="AD14" s="38"/>
      <c r="AE14" s="61" t="s">
        <v>43</v>
      </c>
      <c r="AF14" s="61" t="s">
        <v>43</v>
      </c>
      <c r="AG14" s="38"/>
      <c r="AH14" s="61" t="s">
        <v>43</v>
      </c>
    </row>
    <row r="15" customFormat="false" ht="15" hidden="false" customHeight="false" outlineLevel="0" collapsed="false">
      <c r="A15" s="33" t="n">
        <v>14</v>
      </c>
      <c r="B15" s="33" t="s">
        <v>31</v>
      </c>
      <c r="C15" s="70" t="n">
        <v>103</v>
      </c>
      <c r="D15" s="23" t="n">
        <v>2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61" t="s">
        <v>43</v>
      </c>
      <c r="AG15" s="38"/>
      <c r="AH15" s="38"/>
    </row>
    <row r="16" customFormat="false" ht="15" hidden="false" customHeight="false" outlineLevel="0" collapsed="false">
      <c r="A16" s="33" t="n">
        <v>15</v>
      </c>
      <c r="B16" s="33" t="s">
        <v>31</v>
      </c>
      <c r="C16" s="70" t="n">
        <v>203</v>
      </c>
      <c r="D16" s="23" t="n">
        <v>2</v>
      </c>
      <c r="E16" s="38"/>
      <c r="F16" s="38"/>
      <c r="G16" s="38"/>
      <c r="H16" s="38"/>
      <c r="I16" s="38"/>
      <c r="J16" s="38"/>
      <c r="K16" s="38"/>
      <c r="L16" s="61" t="s">
        <v>43</v>
      </c>
      <c r="M16" s="61" t="s">
        <v>43</v>
      </c>
      <c r="N16" s="38"/>
      <c r="O16" s="38"/>
      <c r="P16" s="38"/>
      <c r="Q16" s="61" t="s">
        <v>43</v>
      </c>
      <c r="R16" s="38"/>
      <c r="S16" s="61" t="s">
        <v>43</v>
      </c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61" t="s">
        <v>49</v>
      </c>
      <c r="AH16" s="38"/>
    </row>
    <row r="17" customFormat="false" ht="15" hidden="false" customHeight="false" outlineLevel="0" collapsed="false">
      <c r="A17" s="33" t="n">
        <v>16</v>
      </c>
      <c r="B17" s="33" t="s">
        <v>31</v>
      </c>
      <c r="C17" s="70" t="n">
        <v>303</v>
      </c>
      <c r="D17" s="23" t="n">
        <v>2</v>
      </c>
      <c r="E17" s="38"/>
      <c r="F17" s="38"/>
      <c r="G17" s="61" t="s">
        <v>43</v>
      </c>
      <c r="H17" s="38"/>
      <c r="I17" s="61" t="s">
        <v>43</v>
      </c>
      <c r="J17" s="38"/>
      <c r="K17" s="38"/>
      <c r="L17" s="61" t="s">
        <v>43</v>
      </c>
      <c r="M17" s="61" t="s">
        <v>43</v>
      </c>
      <c r="N17" s="38"/>
      <c r="O17" s="38"/>
      <c r="P17" s="38"/>
      <c r="Q17" s="61" t="s">
        <v>43</v>
      </c>
      <c r="R17" s="38"/>
      <c r="S17" s="38"/>
      <c r="T17" s="38"/>
      <c r="U17" s="61" t="s">
        <v>49</v>
      </c>
      <c r="V17" s="38"/>
      <c r="W17" s="38"/>
      <c r="X17" s="38"/>
      <c r="Y17" s="38"/>
      <c r="Z17" s="38"/>
      <c r="AA17" s="38"/>
      <c r="AB17" s="61" t="s">
        <v>43</v>
      </c>
      <c r="AC17" s="38"/>
      <c r="AD17" s="38"/>
      <c r="AE17" s="71"/>
      <c r="AF17" s="38"/>
      <c r="AG17" s="61" t="s">
        <v>43</v>
      </c>
      <c r="AH17" s="61" t="s">
        <v>43</v>
      </c>
    </row>
    <row r="18" customFormat="false" ht="15" hidden="false" customHeight="false" outlineLevel="0" collapsed="false">
      <c r="A18" s="33" t="n">
        <v>17</v>
      </c>
      <c r="B18" s="33" t="s">
        <v>31</v>
      </c>
      <c r="C18" s="70" t="n">
        <v>403</v>
      </c>
      <c r="D18" s="23" t="n">
        <v>2</v>
      </c>
      <c r="E18" s="38"/>
      <c r="F18" s="38"/>
      <c r="G18" s="38"/>
      <c r="H18" s="38"/>
      <c r="I18" s="38"/>
      <c r="J18" s="61" t="s">
        <v>43</v>
      </c>
      <c r="K18" s="61" t="s">
        <v>113</v>
      </c>
      <c r="L18" s="38"/>
      <c r="M18" s="38"/>
      <c r="N18" s="38"/>
      <c r="O18" s="61" t="s">
        <v>113</v>
      </c>
      <c r="P18" s="38"/>
      <c r="Q18" s="38"/>
      <c r="R18" s="61" t="s">
        <v>49</v>
      </c>
      <c r="S18" s="38"/>
      <c r="T18" s="38"/>
      <c r="U18" s="61" t="s">
        <v>49</v>
      </c>
      <c r="V18" s="38"/>
      <c r="W18" s="38"/>
      <c r="X18" s="38"/>
      <c r="Y18" s="38"/>
      <c r="Z18" s="61" t="s">
        <v>43</v>
      </c>
      <c r="AA18" s="38"/>
      <c r="AB18" s="71"/>
      <c r="AC18" s="71"/>
      <c r="AD18" s="38"/>
      <c r="AE18" s="38"/>
      <c r="AF18" s="38"/>
      <c r="AG18" s="61" t="s">
        <v>49</v>
      </c>
      <c r="AH18" s="38"/>
    </row>
    <row r="19" customFormat="false" ht="15" hidden="false" customHeight="false" outlineLevel="0" collapsed="false">
      <c r="A19" s="33" t="n">
        <v>18</v>
      </c>
      <c r="B19" s="33" t="s">
        <v>31</v>
      </c>
      <c r="C19" s="70" t="n">
        <v>503</v>
      </c>
      <c r="D19" s="23" t="n">
        <v>2</v>
      </c>
      <c r="E19" s="38"/>
      <c r="F19" s="38"/>
      <c r="G19" s="38"/>
      <c r="H19" s="61" t="s">
        <v>43</v>
      </c>
      <c r="I19" s="38"/>
      <c r="J19" s="61" t="s">
        <v>43</v>
      </c>
      <c r="K19" s="38"/>
      <c r="L19" s="61" t="s">
        <v>43</v>
      </c>
      <c r="M19" s="38"/>
      <c r="N19" s="61" t="s">
        <v>43</v>
      </c>
      <c r="O19" s="61" t="s">
        <v>43</v>
      </c>
      <c r="P19" s="61" t="s">
        <v>49</v>
      </c>
      <c r="Q19" s="38"/>
      <c r="R19" s="61" t="s">
        <v>43</v>
      </c>
      <c r="S19" s="38"/>
      <c r="T19" s="38"/>
      <c r="U19" s="61" t="s">
        <v>43</v>
      </c>
      <c r="V19" s="61" t="s">
        <v>43</v>
      </c>
      <c r="W19" s="61" t="s">
        <v>49</v>
      </c>
      <c r="X19" s="38"/>
      <c r="Y19" s="61" t="s">
        <v>43</v>
      </c>
      <c r="Z19" s="38"/>
      <c r="AA19" s="38"/>
      <c r="AB19" s="66"/>
      <c r="AC19" s="38"/>
      <c r="AD19" s="38"/>
      <c r="AE19" s="61" t="s">
        <v>43</v>
      </c>
      <c r="AF19" s="38"/>
      <c r="AG19" s="38"/>
      <c r="AH19" s="61" t="s">
        <v>43</v>
      </c>
    </row>
    <row r="20" customFormat="false" ht="15" hidden="false" customHeight="false" outlineLevel="0" collapsed="false">
      <c r="A20" s="33" t="n">
        <v>19</v>
      </c>
      <c r="B20" s="33" t="s">
        <v>31</v>
      </c>
      <c r="C20" s="70" t="n">
        <v>603</v>
      </c>
      <c r="D20" s="23" t="n">
        <v>2</v>
      </c>
      <c r="E20" s="61" t="s">
        <v>222</v>
      </c>
      <c r="F20" s="38"/>
      <c r="G20" s="38"/>
      <c r="H20" s="38"/>
      <c r="I20" s="38"/>
      <c r="J20" s="61" t="s">
        <v>43</v>
      </c>
      <c r="K20" s="38"/>
      <c r="L20" s="38"/>
      <c r="M20" s="38"/>
      <c r="N20" s="38"/>
      <c r="O20" s="38"/>
      <c r="P20" s="61" t="s">
        <v>49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 t="s">
        <v>2770</v>
      </c>
      <c r="AE20" s="38"/>
      <c r="AF20" s="38"/>
      <c r="AG20" s="38"/>
      <c r="AH20" s="38"/>
    </row>
    <row r="21" customFormat="false" ht="15" hidden="false" customHeight="false" outlineLevel="0" collapsed="false">
      <c r="A21" s="33" t="n">
        <v>20</v>
      </c>
      <c r="B21" s="33" t="s">
        <v>31</v>
      </c>
      <c r="C21" s="70" t="n">
        <v>703</v>
      </c>
      <c r="D21" s="23" t="n">
        <v>2</v>
      </c>
      <c r="E21" s="38"/>
      <c r="F21" s="38"/>
      <c r="G21" s="38"/>
      <c r="H21" s="38"/>
      <c r="I21" s="38"/>
      <c r="J21" s="38"/>
      <c r="K21" s="38"/>
      <c r="L21" s="38"/>
      <c r="M21" s="61" t="s">
        <v>43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 t="s">
        <v>2770</v>
      </c>
      <c r="AD21" s="38"/>
      <c r="AE21" s="38"/>
      <c r="AF21" s="38"/>
      <c r="AG21" s="38"/>
      <c r="AH21" s="38"/>
    </row>
    <row r="22" customFormat="false" ht="15" hidden="false" customHeight="false" outlineLevel="0" collapsed="false">
      <c r="A22" s="38" t="n">
        <v>17</v>
      </c>
      <c r="B22" s="24" t="s">
        <v>209</v>
      </c>
      <c r="C22" s="24" t="s">
        <v>209</v>
      </c>
      <c r="D22" s="23" t="n">
        <v>1</v>
      </c>
      <c r="E22" s="38" t="s">
        <v>2770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</row>
    <row r="24" customFormat="false" ht="15" hidden="false" customHeight="false" outlineLevel="0" collapsed="false">
      <c r="G24" s="40" t="s">
        <v>2730</v>
      </c>
      <c r="H24" s="40"/>
      <c r="I24" s="40"/>
      <c r="J24" s="40"/>
      <c r="K24" s="41" t="s">
        <v>2731</v>
      </c>
      <c r="L24" s="41"/>
      <c r="M24" s="41"/>
      <c r="N24" s="41"/>
      <c r="Q24" s="72" t="s">
        <v>2732</v>
      </c>
      <c r="R24" s="72"/>
      <c r="S24" s="72"/>
      <c r="T24" s="72"/>
      <c r="U24" s="72"/>
    </row>
    <row r="25" customFormat="false" ht="15" hidden="false" customHeight="false" outlineLevel="0" collapsed="false">
      <c r="B25" s="43" t="s">
        <v>2733</v>
      </c>
      <c r="C25" s="24" t="s">
        <v>2734</v>
      </c>
      <c r="D25" s="44" t="s">
        <v>2735</v>
      </c>
      <c r="E25" s="24" t="s">
        <v>2736</v>
      </c>
      <c r="G25" s="44" t="s">
        <v>2737</v>
      </c>
      <c r="H25" s="44" t="s">
        <v>2734</v>
      </c>
      <c r="I25" s="44" t="s">
        <v>2735</v>
      </c>
      <c r="J25" s="44" t="s">
        <v>2736</v>
      </c>
      <c r="K25" s="44" t="s">
        <v>2737</v>
      </c>
      <c r="L25" s="44" t="s">
        <v>2734</v>
      </c>
      <c r="M25" s="44" t="s">
        <v>2735</v>
      </c>
      <c r="N25" s="44" t="s">
        <v>2736</v>
      </c>
      <c r="Q25" s="45" t="s">
        <v>2733</v>
      </c>
      <c r="R25" s="44" t="s">
        <v>2734</v>
      </c>
      <c r="S25" s="44" t="s">
        <v>2736</v>
      </c>
      <c r="T25" s="44" t="s">
        <v>2738</v>
      </c>
      <c r="U25" s="44" t="s">
        <v>2739</v>
      </c>
    </row>
    <row r="26" customFormat="false" ht="15" hidden="false" customHeight="false" outlineLevel="0" collapsed="false">
      <c r="B26" s="24" t="s">
        <v>2740</v>
      </c>
      <c r="C26" s="24" t="n">
        <f aca="false">SUM(C27:C31)</f>
        <v>20</v>
      </c>
      <c r="D26" s="44" t="n">
        <f aca="false">C26*7</f>
        <v>140</v>
      </c>
      <c r="E26" s="24" t="n">
        <f aca="false">C26*30</f>
        <v>600</v>
      </c>
      <c r="G26" s="44"/>
      <c r="H26" s="47" t="n">
        <v>45444</v>
      </c>
      <c r="I26" s="44" t="s">
        <v>2771</v>
      </c>
      <c r="J26" s="44" t="s">
        <v>2772</v>
      </c>
      <c r="K26" s="44"/>
      <c r="L26" s="47" t="n">
        <v>45444</v>
      </c>
      <c r="M26" s="44" t="s">
        <v>2771</v>
      </c>
      <c r="N26" s="44" t="s">
        <v>2772</v>
      </c>
      <c r="Q26" s="36" t="s">
        <v>2740</v>
      </c>
      <c r="R26" s="24" t="n">
        <f aca="false">C26</f>
        <v>20</v>
      </c>
      <c r="S26" s="24" t="n">
        <f aca="false">R26*30</f>
        <v>600</v>
      </c>
      <c r="T26" s="50" t="n">
        <f aca="false">SUM(T27:T30)</f>
        <v>166</v>
      </c>
      <c r="U26" s="48" t="n">
        <f aca="false">T26/S26</f>
        <v>0.276666666666667</v>
      </c>
    </row>
    <row r="27" customFormat="false" ht="15" hidden="false" customHeight="false" outlineLevel="0" collapsed="false">
      <c r="B27" s="20" t="s">
        <v>65</v>
      </c>
      <c r="C27" s="24" t="n">
        <f aca="false">COUNTIF($B$3:$B$22,B27)</f>
        <v>6</v>
      </c>
      <c r="D27" s="44" t="n">
        <f aca="false">C27*7</f>
        <v>42</v>
      </c>
      <c r="E27" s="24" t="n">
        <f aca="false">C27*30</f>
        <v>180</v>
      </c>
      <c r="G27" s="24" t="s">
        <v>65</v>
      </c>
      <c r="H27" s="24" t="n">
        <f aca="false">COUNTA(E3:E8)</f>
        <v>5</v>
      </c>
      <c r="I27" s="24" t="n">
        <f aca="false">COUNTA(J3:P8)</f>
        <v>15</v>
      </c>
      <c r="J27" s="24" t="n">
        <f aca="false">COUNTA(E3:AH8)</f>
        <v>59</v>
      </c>
      <c r="K27" s="24" t="s">
        <v>65</v>
      </c>
      <c r="L27" s="24" t="n">
        <f aca="false">COUNTBLANK(E3:E8)</f>
        <v>1</v>
      </c>
      <c r="M27" s="24" t="n">
        <f aca="false">COUNTBLANK(J3:P8)</f>
        <v>27</v>
      </c>
      <c r="N27" s="49" t="n">
        <f aca="false">COUNTBLANK(E3:AH8)</f>
        <v>121</v>
      </c>
      <c r="O27" s="50" t="n">
        <f aca="false">J27+N27</f>
        <v>180</v>
      </c>
      <c r="Q27" s="24" t="s">
        <v>65</v>
      </c>
      <c r="R27" s="24" t="n">
        <f aca="false">C27</f>
        <v>6</v>
      </c>
      <c r="S27" s="24" t="n">
        <f aca="false">R27*30</f>
        <v>180</v>
      </c>
      <c r="T27" s="24" t="n">
        <f aca="false">J27</f>
        <v>59</v>
      </c>
      <c r="U27" s="48" t="n">
        <f aca="false">T27/S27</f>
        <v>0.327777777777778</v>
      </c>
    </row>
    <row r="28" customFormat="false" ht="15" hidden="false" customHeight="false" outlineLevel="0" collapsed="false">
      <c r="B28" s="26" t="s">
        <v>60</v>
      </c>
      <c r="C28" s="24" t="n">
        <f aca="false">COUNTIF($B$3:$B$22,B28)</f>
        <v>4</v>
      </c>
      <c r="D28" s="44" t="n">
        <f aca="false">C28*7</f>
        <v>28</v>
      </c>
      <c r="E28" s="24" t="n">
        <f aca="false">C28*30</f>
        <v>120</v>
      </c>
      <c r="G28" s="24" t="s">
        <v>60</v>
      </c>
      <c r="H28" s="49" t="n">
        <f aca="false">COUNTA(E9:E12)</f>
        <v>1</v>
      </c>
      <c r="I28" s="24" t="n">
        <f aca="false">COUNTA(J9:P12)</f>
        <v>8</v>
      </c>
      <c r="J28" s="24" t="n">
        <f aca="false">COUNTA(E9:AH12)</f>
        <v>38</v>
      </c>
      <c r="K28" s="24" t="s">
        <v>60</v>
      </c>
      <c r="L28" s="24" t="n">
        <f aca="false">COUNTBLANK(E9:E12)</f>
        <v>3</v>
      </c>
      <c r="M28" s="24" t="n">
        <f aca="false">COUNTBLANK(J9:P12)</f>
        <v>20</v>
      </c>
      <c r="N28" s="49" t="n">
        <f aca="false">COUNTBLANK(E9:AH12)</f>
        <v>82</v>
      </c>
      <c r="O28" s="50" t="n">
        <f aca="false">J28+N28</f>
        <v>120</v>
      </c>
      <c r="Q28" s="24" t="s">
        <v>60</v>
      </c>
      <c r="R28" s="24" t="n">
        <f aca="false">C28</f>
        <v>4</v>
      </c>
      <c r="S28" s="24" t="n">
        <f aca="false">R28*30</f>
        <v>120</v>
      </c>
      <c r="T28" s="24" t="n">
        <f aca="false">J28</f>
        <v>38</v>
      </c>
      <c r="U28" s="48" t="n">
        <f aca="false">T28/S28</f>
        <v>0.316666666666667</v>
      </c>
    </row>
    <row r="29" customFormat="false" ht="15" hidden="false" customHeight="false" outlineLevel="0" collapsed="false">
      <c r="B29" s="30" t="s">
        <v>71</v>
      </c>
      <c r="C29" s="24" t="n">
        <f aca="false">COUNTIF($B$3:$B$22,B29)</f>
        <v>2</v>
      </c>
      <c r="D29" s="44" t="n">
        <f aca="false">C29*7</f>
        <v>14</v>
      </c>
      <c r="E29" s="24" t="n">
        <f aca="false">C29*30</f>
        <v>60</v>
      </c>
      <c r="G29" s="24" t="s">
        <v>71</v>
      </c>
      <c r="H29" s="49" t="n">
        <f aca="false">COUNTA(E13:E14)</f>
        <v>1</v>
      </c>
      <c r="I29" s="24" t="n">
        <f aca="false">COUNTA(J13:P14)</f>
        <v>8</v>
      </c>
      <c r="J29" s="24" t="n">
        <f aca="false">COUNTA(E13:AH14)</f>
        <v>28</v>
      </c>
      <c r="K29" s="24" t="s">
        <v>71</v>
      </c>
      <c r="L29" s="24" t="n">
        <f aca="false">COUNTBLANK(E13:E14)</f>
        <v>1</v>
      </c>
      <c r="M29" s="24" t="n">
        <f aca="false">COUNTBLANK(J13:P14)</f>
        <v>6</v>
      </c>
      <c r="N29" s="49" t="n">
        <f aca="false">COUNTBLANK(E13:AH14)</f>
        <v>32</v>
      </c>
      <c r="O29" s="50" t="n">
        <f aca="false">J29+N29</f>
        <v>60</v>
      </c>
      <c r="Q29" s="24" t="s">
        <v>71</v>
      </c>
      <c r="R29" s="24" t="n">
        <f aca="false">C29</f>
        <v>2</v>
      </c>
      <c r="S29" s="24" t="n">
        <f aca="false">R29*30</f>
        <v>60</v>
      </c>
      <c r="T29" s="24" t="n">
        <f aca="false">J29</f>
        <v>28</v>
      </c>
      <c r="U29" s="48" t="n">
        <f aca="false">T29/S29</f>
        <v>0.466666666666667</v>
      </c>
    </row>
    <row r="30" customFormat="false" ht="15" hidden="false" customHeight="false" outlineLevel="0" collapsed="false">
      <c r="B30" s="33" t="s">
        <v>31</v>
      </c>
      <c r="C30" s="24" t="n">
        <f aca="false">COUNTIF($B$3:$B$22,B30)</f>
        <v>7</v>
      </c>
      <c r="D30" s="44" t="n">
        <f aca="false">C30*7</f>
        <v>49</v>
      </c>
      <c r="E30" s="24" t="n">
        <f aca="false">C30*30</f>
        <v>210</v>
      </c>
      <c r="G30" s="24" t="s">
        <v>2743</v>
      </c>
      <c r="H30" s="49" t="n">
        <f aca="false">COUNTA(E15:E21)</f>
        <v>1</v>
      </c>
      <c r="I30" s="24" t="n">
        <f aca="false">COUNTA(J15:P21)</f>
        <v>15</v>
      </c>
      <c r="J30" s="24" t="n">
        <f aca="false">COUNTA(E15:AH21)</f>
        <v>41</v>
      </c>
      <c r="K30" s="24" t="s">
        <v>2743</v>
      </c>
      <c r="L30" s="24" t="n">
        <f aca="false">COUNTBLANK(E15:E21)</f>
        <v>6</v>
      </c>
      <c r="M30" s="24" t="n">
        <f aca="false">COUNTBLANK(J15:P21)</f>
        <v>34</v>
      </c>
      <c r="N30" s="49" t="n">
        <f aca="false">COUNTBLANK(E15:AH21)</f>
        <v>169</v>
      </c>
      <c r="O30" s="50" t="n">
        <f aca="false">J30+N30</f>
        <v>210</v>
      </c>
      <c r="Q30" s="24" t="s">
        <v>2743</v>
      </c>
      <c r="R30" s="24" t="n">
        <f aca="false">C30</f>
        <v>7</v>
      </c>
      <c r="S30" s="24" t="n">
        <f aca="false">R30*30</f>
        <v>210</v>
      </c>
      <c r="T30" s="24" t="n">
        <f aca="false">J30</f>
        <v>41</v>
      </c>
      <c r="U30" s="48" t="n">
        <f aca="false">T30/S30</f>
        <v>0.195238095238095</v>
      </c>
    </row>
    <row r="31" customFormat="false" ht="15" hidden="false" customHeight="false" outlineLevel="0" collapsed="false">
      <c r="B31" s="24" t="s">
        <v>209</v>
      </c>
      <c r="C31" s="24" t="n">
        <f aca="false">COUNTIF($B$3:$B$22,B31)</f>
        <v>1</v>
      </c>
      <c r="D31" s="44" t="n">
        <f aca="false">C31*7</f>
        <v>7</v>
      </c>
      <c r="E31" s="24" t="n">
        <f aca="false">C31*30</f>
        <v>30</v>
      </c>
      <c r="G31" s="24" t="s">
        <v>2744</v>
      </c>
      <c r="H31" s="24" t="n">
        <f aca="false">COUNTA(E22)</f>
        <v>1</v>
      </c>
      <c r="I31" s="24" t="n">
        <f aca="false">COUNTA(J22:P22)</f>
        <v>0</v>
      </c>
      <c r="J31" s="24" t="n">
        <f aca="false">COUNTA(E22:AH22)</f>
        <v>1</v>
      </c>
      <c r="K31" s="24" t="s">
        <v>2744</v>
      </c>
      <c r="L31" s="24" t="n">
        <f aca="false">COUNTBLANK(E22)</f>
        <v>0</v>
      </c>
      <c r="M31" s="24" t="n">
        <f aca="false">COUNTBLANK(J22:P22)</f>
        <v>7</v>
      </c>
      <c r="N31" s="49" t="n">
        <f aca="false">COUNTBLANK(E22:AH22)</f>
        <v>29</v>
      </c>
      <c r="O31" s="50" t="n">
        <f aca="false">J31+N31</f>
        <v>30</v>
      </c>
      <c r="Q31" s="24" t="s">
        <v>209</v>
      </c>
      <c r="R31" s="24" t="n">
        <f aca="false">C31</f>
        <v>1</v>
      </c>
      <c r="S31" s="24" t="n">
        <f aca="false">R31*30</f>
        <v>30</v>
      </c>
      <c r="T31" s="24" t="n">
        <f aca="false">J31</f>
        <v>1</v>
      </c>
      <c r="U31" s="48" t="n">
        <f aca="false">T31/S31</f>
        <v>0.0333333333333333</v>
      </c>
    </row>
    <row r="34" customFormat="false" ht="15" hidden="false" customHeight="false" outlineLevel="0" collapsed="false">
      <c r="G34" s="73" t="s">
        <v>2745</v>
      </c>
      <c r="H34" s="73"/>
      <c r="I34" s="73"/>
      <c r="J34" s="73"/>
      <c r="M34" s="74" t="s">
        <v>2746</v>
      </c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</row>
    <row r="35" customFormat="false" ht="15" hidden="false" customHeight="false" outlineLevel="0" collapsed="false">
      <c r="B35" s="54" t="s">
        <v>2747</v>
      </c>
      <c r="C35" s="54" t="s">
        <v>2748</v>
      </c>
      <c r="G35" s="54" t="s">
        <v>2748</v>
      </c>
      <c r="H35" s="54" t="s">
        <v>2734</v>
      </c>
      <c r="I35" s="54" t="s">
        <v>2735</v>
      </c>
      <c r="J35" s="54" t="s">
        <v>2736</v>
      </c>
      <c r="M35" s="75" t="s">
        <v>2737</v>
      </c>
      <c r="N35" s="54" t="s">
        <v>2749</v>
      </c>
      <c r="O35" s="54" t="s">
        <v>2750</v>
      </c>
      <c r="P35" s="54" t="s">
        <v>2751</v>
      </c>
      <c r="Q35" s="54" t="s">
        <v>2752</v>
      </c>
      <c r="R35" s="54" t="s">
        <v>2753</v>
      </c>
      <c r="S35" s="54" t="s">
        <v>2754</v>
      </c>
      <c r="T35" s="54" t="s">
        <v>2755</v>
      </c>
      <c r="U35" s="54" t="s">
        <v>36</v>
      </c>
      <c r="V35" s="54" t="s">
        <v>2756</v>
      </c>
      <c r="W35" s="54" t="s">
        <v>2757</v>
      </c>
      <c r="X35" s="54" t="s">
        <v>2758</v>
      </c>
      <c r="Y35" s="43" t="s">
        <v>2759</v>
      </c>
      <c r="Z35" s="43" t="s">
        <v>2770</v>
      </c>
      <c r="AA35" s="76" t="s">
        <v>2773</v>
      </c>
      <c r="AB35" s="43" t="s">
        <v>113</v>
      </c>
      <c r="AC35" s="43" t="s">
        <v>222</v>
      </c>
    </row>
    <row r="36" customFormat="false" ht="15" hidden="false" customHeight="false" outlineLevel="0" collapsed="false">
      <c r="B36" s="24" t="s">
        <v>2760</v>
      </c>
      <c r="C36" s="24" t="s">
        <v>2750</v>
      </c>
      <c r="G36" s="24" t="s">
        <v>2750</v>
      </c>
      <c r="H36" s="24"/>
      <c r="I36" s="24"/>
      <c r="J36" s="24" t="n">
        <f aca="false">COUNTIF($E$4:$AH$24,B36)</f>
        <v>0</v>
      </c>
      <c r="M36" s="24" t="s">
        <v>65</v>
      </c>
      <c r="N36" s="77" t="n">
        <f aca="false">T27</f>
        <v>59</v>
      </c>
      <c r="O36" s="78" t="n">
        <f aca="false">COUNTIF($E$3:$AI$8,O41)</f>
        <v>0</v>
      </c>
      <c r="P36" s="78" t="n">
        <f aca="false">COUNTIF($E$3:$AI$8,P41)</f>
        <v>0</v>
      </c>
      <c r="Q36" s="78" t="n">
        <f aca="false">COUNTIF($E$3:$AI$8,Q41)</f>
        <v>0</v>
      </c>
      <c r="R36" s="78" t="n">
        <f aca="false">COUNTIF($E$3:$AI$8,R41)</f>
        <v>41</v>
      </c>
      <c r="S36" s="78" t="n">
        <f aca="false">COUNTIF($E$3:$AI$8,S41)</f>
        <v>0</v>
      </c>
      <c r="T36" s="78" t="n">
        <f aca="false">COUNTIF($E$3:$AI$8,T41)</f>
        <v>0</v>
      </c>
      <c r="U36" s="78" t="n">
        <f aca="false">COUNTIF($E$3:$AI$8,U41)</f>
        <v>0</v>
      </c>
      <c r="V36" s="78" t="n">
        <f aca="false">COUNTIF($E$3:$AI$8,V41)</f>
        <v>0</v>
      </c>
      <c r="W36" s="78" t="n">
        <f aca="false">COUNTIF($E$3:$AI$8,W41)</f>
        <v>0</v>
      </c>
      <c r="X36" s="78" t="n">
        <f aca="false">COUNTIF($E$3:$AI$8,X41)</f>
        <v>1</v>
      </c>
      <c r="Y36" s="78" t="n">
        <f aca="false">COUNTIF($E$3:$AI$8,Y41)</f>
        <v>0</v>
      </c>
      <c r="Z36" s="78" t="n">
        <f aca="false">COUNTIF($E$3:$AI$8,Z41)</f>
        <v>0</v>
      </c>
      <c r="AA36" s="79" t="n">
        <f aca="false">COUNTIF($E$3:$AI$8,AA41)</f>
        <v>13</v>
      </c>
      <c r="AB36" s="78" t="n">
        <f aca="false">COUNTIF($E$3:$AI$8,AB41)</f>
        <v>0</v>
      </c>
      <c r="AC36" s="78" t="n">
        <f aca="false">COUNTIF($E$3:$AI$8,AC41)</f>
        <v>0</v>
      </c>
      <c r="AD36" s="80" t="n">
        <f aca="false">SUM(O36:AC36)</f>
        <v>55</v>
      </c>
    </row>
    <row r="37" customFormat="false" ht="15" hidden="false" customHeight="false" outlineLevel="0" collapsed="false">
      <c r="B37" s="24" t="s">
        <v>2761</v>
      </c>
      <c r="C37" s="24" t="s">
        <v>2751</v>
      </c>
      <c r="G37" s="24" t="s">
        <v>2751</v>
      </c>
      <c r="H37" s="24"/>
      <c r="I37" s="24"/>
      <c r="J37" s="24" t="n">
        <f aca="false">COUNTIF($E$4:$AH$24,B37)</f>
        <v>0</v>
      </c>
      <c r="M37" s="24" t="s">
        <v>60</v>
      </c>
      <c r="N37" s="77" t="n">
        <f aca="false">T28</f>
        <v>38</v>
      </c>
      <c r="O37" s="78" t="n">
        <f aca="false">COUNTIF($E$9:$AI$12,O41)</f>
        <v>0</v>
      </c>
      <c r="P37" s="78" t="n">
        <f aca="false">COUNTIF($E$9:$AI$12,P41)</f>
        <v>0</v>
      </c>
      <c r="Q37" s="78" t="n">
        <f aca="false">COUNTIF($E$9:$AI$12,Q41)</f>
        <v>0</v>
      </c>
      <c r="R37" s="78" t="n">
        <f aca="false">COUNTIF($E$9:$AI$12,R41)</f>
        <v>28</v>
      </c>
      <c r="S37" s="78" t="n">
        <f aca="false">COUNTIF($E$9:$AI$12,S41)</f>
        <v>0</v>
      </c>
      <c r="T37" s="78" t="n">
        <f aca="false">COUNTIF($E$9:$AI$12,T41)</f>
        <v>0</v>
      </c>
      <c r="U37" s="78" t="n">
        <f aca="false">COUNTIF($E$9:$AI$12,U41)</f>
        <v>0</v>
      </c>
      <c r="V37" s="78" t="n">
        <f aca="false">COUNTIF($E$9:$AI$12,V41)</f>
        <v>0</v>
      </c>
      <c r="W37" s="78" t="n">
        <f aca="false">COUNTIF($E$9:$AI$12,W41)</f>
        <v>0</v>
      </c>
      <c r="X37" s="78" t="n">
        <f aca="false">COUNTIF($E$9:$AI$12,X41)</f>
        <v>0</v>
      </c>
      <c r="Y37" s="78" t="n">
        <f aca="false">COUNTIF($E$9:$AI$12,Y41)</f>
        <v>0</v>
      </c>
      <c r="Z37" s="78" t="n">
        <f aca="false">COUNTIF($E$9:$AI$12,Z41)</f>
        <v>1</v>
      </c>
      <c r="AA37" s="79" t="n">
        <f aca="false">COUNTIF($E$9:$AI$12,AA41)</f>
        <v>7</v>
      </c>
      <c r="AB37" s="78" t="n">
        <f aca="false">COUNTIF($E$9:$AI$12,AB41)</f>
        <v>0</v>
      </c>
      <c r="AC37" s="78" t="n">
        <f aca="false">COUNTIF($E$9:$AI$12,AC41)</f>
        <v>0</v>
      </c>
      <c r="AD37" s="80" t="n">
        <f aca="false">SUM(O37:AC37)</f>
        <v>36</v>
      </c>
    </row>
    <row r="38" customFormat="false" ht="15" hidden="false" customHeight="false" outlineLevel="0" collapsed="false">
      <c r="B38" s="24" t="s">
        <v>2762</v>
      </c>
      <c r="C38" s="24" t="s">
        <v>2752</v>
      </c>
      <c r="G38" s="24" t="s">
        <v>2752</v>
      </c>
      <c r="H38" s="24"/>
      <c r="I38" s="24"/>
      <c r="J38" s="24" t="n">
        <f aca="false">COUNTIF($E$4:$AH$24,B38)</f>
        <v>0</v>
      </c>
      <c r="M38" s="24" t="s">
        <v>71</v>
      </c>
      <c r="N38" s="77" t="n">
        <f aca="false">T29</f>
        <v>28</v>
      </c>
      <c r="O38" s="78" t="n">
        <f aca="false">COUNTIF($E$13:$AI$14,O41)</f>
        <v>0</v>
      </c>
      <c r="P38" s="78" t="n">
        <f aca="false">COUNTIF($E$13:$AI$14,P41)</f>
        <v>0</v>
      </c>
      <c r="Q38" s="78" t="n">
        <f aca="false">COUNTIF($E$13:$AI$14,Q41)</f>
        <v>0</v>
      </c>
      <c r="R38" s="78" t="n">
        <f aca="false">COUNTIF($E$13:$AI$14,R41)</f>
        <v>15</v>
      </c>
      <c r="S38" s="78" t="n">
        <f aca="false">COUNTIF($E$13:$AI$14,S41)</f>
        <v>0</v>
      </c>
      <c r="T38" s="78" t="n">
        <f aca="false">COUNTIF($E$13:$AI$14,T41)</f>
        <v>0</v>
      </c>
      <c r="U38" s="78" t="n">
        <f aca="false">COUNTIF($E$13:$AI$14,U41)</f>
        <v>0</v>
      </c>
      <c r="V38" s="78" t="n">
        <f aca="false">COUNTIF($E$13:$AI$14,V41)</f>
        <v>0</v>
      </c>
      <c r="W38" s="78" t="n">
        <f aca="false">COUNTIF($E$13:$AI$14,W41)</f>
        <v>0</v>
      </c>
      <c r="X38" s="78" t="n">
        <f aca="false">COUNTIF($E$13:$AI$14,X41)</f>
        <v>1</v>
      </c>
      <c r="Y38" s="78" t="n">
        <f aca="false">COUNTIF($E$13:$AI$14,Y41)</f>
        <v>0</v>
      </c>
      <c r="Z38" s="78" t="n">
        <f aca="false">COUNTIF($E$13:$AI$14,Z41)</f>
        <v>0</v>
      </c>
      <c r="AA38" s="79" t="n">
        <f aca="false">COUNTIF($E$13:$AI$14,AA41)</f>
        <v>11</v>
      </c>
      <c r="AB38" s="78" t="n">
        <f aca="false">COUNTIF($E$13:$AI$14,AB41)</f>
        <v>0</v>
      </c>
      <c r="AC38" s="78" t="n">
        <f aca="false">COUNTIF($E$13:$AI$14,AC41)</f>
        <v>0</v>
      </c>
      <c r="AD38" s="80" t="n">
        <f aca="false">SUM(O38:AC38)</f>
        <v>27</v>
      </c>
    </row>
    <row r="39" customFormat="false" ht="15" hidden="false" customHeight="false" outlineLevel="0" collapsed="false">
      <c r="B39" s="24" t="s">
        <v>43</v>
      </c>
      <c r="C39" s="24" t="s">
        <v>2753</v>
      </c>
      <c r="G39" s="24" t="s">
        <v>2753</v>
      </c>
      <c r="H39" s="24"/>
      <c r="I39" s="24"/>
      <c r="J39" s="24" t="n">
        <f aca="false">COUNTIF($E$3:$AH$22,B39)+7</f>
        <v>119</v>
      </c>
      <c r="M39" s="51" t="s">
        <v>2743</v>
      </c>
      <c r="N39" s="77" t="n">
        <f aca="false">T30</f>
        <v>41</v>
      </c>
      <c r="O39" s="81" t="n">
        <f aca="false">COUNTIF($E$15:$AI$21,O41)</f>
        <v>0</v>
      </c>
      <c r="P39" s="81" t="n">
        <f aca="false">COUNTIF($E$15:$AI$21,P41)</f>
        <v>0</v>
      </c>
      <c r="Q39" s="81" t="n">
        <f aca="false">COUNTIF($E$15:$AI$21,Q41)</f>
        <v>0</v>
      </c>
      <c r="R39" s="81" t="n">
        <f aca="false">COUNTIF($E$15:$AI$21,R41)</f>
        <v>28</v>
      </c>
      <c r="S39" s="81" t="n">
        <f aca="false">COUNTIF($E$15:$AI$21,S41)</f>
        <v>0</v>
      </c>
      <c r="T39" s="81" t="n">
        <f aca="false">COUNTIF($E$15:$AI$21,T41)</f>
        <v>0</v>
      </c>
      <c r="U39" s="81" t="n">
        <f aca="false">COUNTIF($E$15:$AI$21,U41)</f>
        <v>0</v>
      </c>
      <c r="V39" s="81" t="n">
        <f aca="false">COUNTIF($E$15:$AI$21,V41)</f>
        <v>0</v>
      </c>
      <c r="W39" s="81" t="n">
        <f aca="false">COUNTIF($E$15:$AI$21,W41)</f>
        <v>0</v>
      </c>
      <c r="X39" s="81" t="n">
        <f aca="false">COUNTIF($E$15:$AI$21,X41)</f>
        <v>0</v>
      </c>
      <c r="Y39" s="81" t="n">
        <f aca="false">COUNTIF($E$15:$AI$21,Y41)</f>
        <v>0</v>
      </c>
      <c r="Z39" s="81" t="n">
        <f aca="false">COUNTIF($E$15:$AI$21,Z41)</f>
        <v>2</v>
      </c>
      <c r="AA39" s="82" t="n">
        <f aca="false">COUNTIF($E$15:$AI$21,AA41)</f>
        <v>8</v>
      </c>
      <c r="AB39" s="78" t="n">
        <f aca="false">COUNTIF($E$15:$AI$21,AB41)</f>
        <v>2</v>
      </c>
      <c r="AC39" s="78" t="n">
        <f aca="false">COUNTIF($E$15:$AI$21,AC41)</f>
        <v>1</v>
      </c>
      <c r="AD39" s="80" t="n">
        <f aca="false">SUM(O39:AC39)</f>
        <v>41</v>
      </c>
    </row>
    <row r="40" customFormat="false" ht="15" hidden="false" customHeight="false" outlineLevel="0" collapsed="false">
      <c r="B40" s="24" t="s">
        <v>2727</v>
      </c>
      <c r="C40" s="24" t="s">
        <v>2754</v>
      </c>
      <c r="G40" s="24" t="s">
        <v>2754</v>
      </c>
      <c r="H40" s="24"/>
      <c r="I40" s="24"/>
      <c r="J40" s="24" t="n">
        <f aca="false">COUNTIF($E$3:$AH$22,B40)</f>
        <v>0</v>
      </c>
      <c r="M40" s="24" t="s">
        <v>209</v>
      </c>
      <c r="N40" s="83" t="n">
        <f aca="false">T31</f>
        <v>1</v>
      </c>
      <c r="O40" s="78" t="n">
        <f aca="false">COUNTIF($E$22:$AI$22,O41)</f>
        <v>0</v>
      </c>
      <c r="P40" s="78" t="n">
        <f aca="false">COUNTIF($E$22:$AI$22,P41)</f>
        <v>0</v>
      </c>
      <c r="Q40" s="78" t="n">
        <f aca="false">COUNTIF($E$22:$AI$22,Q41)</f>
        <v>0</v>
      </c>
      <c r="R40" s="78" t="n">
        <f aca="false">COUNTIF($E$22:$AI$22,R41)</f>
        <v>0</v>
      </c>
      <c r="S40" s="78" t="n">
        <f aca="false">COUNTIF($E$22:$AI$22,S41)</f>
        <v>0</v>
      </c>
      <c r="T40" s="78" t="n">
        <f aca="false">COUNTIF($E$22:$AI$22,T41)</f>
        <v>0</v>
      </c>
      <c r="U40" s="78" t="n">
        <f aca="false">COUNTIF($E$22:$AI$22,U41)</f>
        <v>0</v>
      </c>
      <c r="V40" s="78" t="n">
        <f aca="false">COUNTIF($E$22:$AI$22,V41)</f>
        <v>0</v>
      </c>
      <c r="W40" s="78" t="n">
        <f aca="false">COUNTIF($E$22:$AI$22,W41)</f>
        <v>0</v>
      </c>
      <c r="X40" s="78" t="n">
        <f aca="false">COUNTIF($E$22:$AI$22,X41)</f>
        <v>0</v>
      </c>
      <c r="Y40" s="78" t="n">
        <f aca="false">COUNTIF($E$22:$AI$22,Y41)</f>
        <v>0</v>
      </c>
      <c r="Z40" s="78" t="n">
        <f aca="false">COUNTIF($E$22:$AI$22,Z41)</f>
        <v>1</v>
      </c>
      <c r="AA40" s="79" t="n">
        <f aca="false">COUNTIF($E$22:$AI$22,AA41)</f>
        <v>0</v>
      </c>
      <c r="AB40" s="78" t="n">
        <f aca="false">COUNTIF($E$22:$AI$22,AB41)</f>
        <v>0</v>
      </c>
      <c r="AC40" s="78" t="n">
        <f aca="false">COUNTIF($E$22:$AI$22,AC41)</f>
        <v>0</v>
      </c>
      <c r="AD40" s="80" t="n">
        <f aca="false">SUM(O40:AC40)</f>
        <v>1</v>
      </c>
    </row>
    <row r="41" customFormat="false" ht="15" hidden="false" customHeight="false" outlineLevel="0" collapsed="false">
      <c r="B41" s="24" t="s">
        <v>2763</v>
      </c>
      <c r="C41" s="24" t="s">
        <v>2755</v>
      </c>
      <c r="G41" s="24" t="s">
        <v>2755</v>
      </c>
      <c r="H41" s="24"/>
      <c r="I41" s="24"/>
      <c r="J41" s="24" t="n">
        <f aca="false">COUNTIF($E$3:$AH$22,B41)</f>
        <v>0</v>
      </c>
      <c r="O41" s="50" t="s">
        <v>2760</v>
      </c>
      <c r="P41" s="50" t="s">
        <v>2761</v>
      </c>
      <c r="Q41" s="50" t="s">
        <v>2762</v>
      </c>
      <c r="R41" s="50" t="s">
        <v>43</v>
      </c>
      <c r="S41" s="50" t="s">
        <v>2727</v>
      </c>
      <c r="T41" s="50" t="s">
        <v>2763</v>
      </c>
      <c r="U41" s="50" t="s">
        <v>2728</v>
      </c>
      <c r="V41" s="50" t="s">
        <v>2764</v>
      </c>
      <c r="W41" s="50" t="s">
        <v>2765</v>
      </c>
      <c r="X41" s="50" t="s">
        <v>54</v>
      </c>
      <c r="Y41" s="50" t="s">
        <v>2766</v>
      </c>
      <c r="Z41" s="50" t="s">
        <v>2770</v>
      </c>
      <c r="AA41" s="50" t="s">
        <v>49</v>
      </c>
      <c r="AB41" s="50" t="s">
        <v>113</v>
      </c>
      <c r="AC41" s="50" t="s">
        <v>222</v>
      </c>
    </row>
    <row r="42" customFormat="false" ht="15" hidden="false" customHeight="false" outlineLevel="0" collapsed="false">
      <c r="B42" s="24" t="s">
        <v>2728</v>
      </c>
      <c r="C42" s="24" t="s">
        <v>36</v>
      </c>
      <c r="G42" s="24" t="s">
        <v>36</v>
      </c>
      <c r="H42" s="24"/>
      <c r="I42" s="24"/>
      <c r="J42" s="24" t="n">
        <f aca="false">COUNTIF($E$3:$AH$22,B42)</f>
        <v>0</v>
      </c>
    </row>
    <row r="43" customFormat="false" ht="15" hidden="false" customHeight="false" outlineLevel="0" collapsed="false">
      <c r="B43" s="24" t="s">
        <v>2764</v>
      </c>
      <c r="C43" s="24" t="s">
        <v>2756</v>
      </c>
      <c r="G43" s="24" t="s">
        <v>2756</v>
      </c>
      <c r="H43" s="24"/>
      <c r="I43" s="24"/>
      <c r="J43" s="24" t="n">
        <f aca="false">COUNTIF($E$3:$AH$22,B43)</f>
        <v>0</v>
      </c>
    </row>
    <row r="44" customFormat="false" ht="15" hidden="false" customHeight="false" outlineLevel="0" collapsed="false">
      <c r="B44" s="24" t="s">
        <v>2765</v>
      </c>
      <c r="C44" s="24" t="s">
        <v>2757</v>
      </c>
      <c r="G44" s="24" t="s">
        <v>2757</v>
      </c>
      <c r="H44" s="24"/>
      <c r="I44" s="24"/>
      <c r="J44" s="24" t="n">
        <f aca="false">COUNTIF($E$3:$AH$22,B44)</f>
        <v>0</v>
      </c>
    </row>
    <row r="45" customFormat="false" ht="15" hidden="false" customHeight="false" outlineLevel="0" collapsed="false">
      <c r="B45" s="24" t="s">
        <v>54</v>
      </c>
      <c r="C45" s="24" t="s">
        <v>2758</v>
      </c>
      <c r="G45" s="24" t="s">
        <v>2758</v>
      </c>
      <c r="H45" s="24"/>
      <c r="I45" s="24"/>
      <c r="J45" s="24" t="n">
        <f aca="false">COUNTIF($E$3:$AH$22,B45)</f>
        <v>2</v>
      </c>
    </row>
    <row r="46" customFormat="false" ht="15" hidden="false" customHeight="false" outlineLevel="0" collapsed="false">
      <c r="B46" s="24" t="s">
        <v>2766</v>
      </c>
      <c r="C46" s="24" t="s">
        <v>2759</v>
      </c>
      <c r="G46" s="24" t="s">
        <v>2759</v>
      </c>
      <c r="H46" s="24"/>
      <c r="I46" s="24"/>
      <c r="J46" s="24" t="n">
        <f aca="false">COUNTIF($E$3:$AH$22,B46)</f>
        <v>0</v>
      </c>
    </row>
    <row r="47" customFormat="false" ht="15" hidden="false" customHeight="false" outlineLevel="0" collapsed="false">
      <c r="B47" s="24" t="s">
        <v>2770</v>
      </c>
      <c r="C47" s="24" t="s">
        <v>2770</v>
      </c>
      <c r="G47" s="24" t="s">
        <v>2770</v>
      </c>
      <c r="H47" s="84"/>
      <c r="I47" s="84"/>
      <c r="J47" s="24" t="n">
        <f aca="false">COUNTIF($E$3:$AH$22,B47)</f>
        <v>4</v>
      </c>
    </row>
    <row r="48" customFormat="false" ht="15" hidden="false" customHeight="false" outlineLevel="0" collapsed="false">
      <c r="B48" s="24" t="s">
        <v>49</v>
      </c>
      <c r="C48" s="24" t="s">
        <v>2773</v>
      </c>
      <c r="G48" s="24" t="s">
        <v>2773</v>
      </c>
      <c r="H48" s="84"/>
      <c r="I48" s="84"/>
      <c r="J48" s="24" t="n">
        <f aca="false">COUNTIF($E$3:$AH$22,B48)+3</f>
        <v>42</v>
      </c>
    </row>
    <row r="49" customFormat="false" ht="15" hidden="false" customHeight="false" outlineLevel="0" collapsed="false">
      <c r="B49" s="24" t="s">
        <v>113</v>
      </c>
      <c r="C49" s="24" t="s">
        <v>113</v>
      </c>
      <c r="G49" s="24" t="s">
        <v>113</v>
      </c>
      <c r="H49" s="84"/>
      <c r="I49" s="84"/>
      <c r="J49" s="24" t="n">
        <f aca="false">COUNTIF($E$3:$AH$22,B49)</f>
        <v>2</v>
      </c>
    </row>
    <row r="50" customFormat="false" ht="15" hidden="false" customHeight="false" outlineLevel="0" collapsed="false">
      <c r="B50" s="24" t="s">
        <v>222</v>
      </c>
      <c r="C50" s="24" t="s">
        <v>222</v>
      </c>
      <c r="G50" s="24" t="s">
        <v>222</v>
      </c>
      <c r="H50" s="84"/>
      <c r="I50" s="84"/>
      <c r="J50" s="24" t="n">
        <f aca="false">COUNTIF($E$3:$AH$22,B50)</f>
        <v>1</v>
      </c>
    </row>
  </sheetData>
  <autoFilter ref="A2:AH22"/>
  <mergeCells count="7">
    <mergeCell ref="G24:J24"/>
    <mergeCell ref="K24:N24"/>
    <mergeCell ref="Q24:U24"/>
    <mergeCell ref="G25:G26"/>
    <mergeCell ref="K25:K26"/>
    <mergeCell ref="G34:J34"/>
    <mergeCell ref="M34:AC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4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2774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2721</v>
      </c>
      <c r="F2" s="15" t="s">
        <v>2722</v>
      </c>
      <c r="G2" s="15" t="s">
        <v>2716</v>
      </c>
      <c r="H2" s="16" t="s">
        <v>2717</v>
      </c>
      <c r="I2" s="16" t="s">
        <v>2718</v>
      </c>
      <c r="J2" s="15" t="s">
        <v>2719</v>
      </c>
      <c r="K2" s="15" t="s">
        <v>2720</v>
      </c>
      <c r="L2" s="15" t="s">
        <v>2721</v>
      </c>
      <c r="M2" s="15" t="s">
        <v>2722</v>
      </c>
      <c r="N2" s="15" t="s">
        <v>2716</v>
      </c>
      <c r="O2" s="16" t="s">
        <v>2717</v>
      </c>
      <c r="P2" s="16" t="s">
        <v>2718</v>
      </c>
      <c r="Q2" s="15" t="s">
        <v>2719</v>
      </c>
      <c r="R2" s="15" t="s">
        <v>2720</v>
      </c>
      <c r="S2" s="15" t="s">
        <v>2721</v>
      </c>
      <c r="T2" s="15" t="s">
        <v>2722</v>
      </c>
      <c r="U2" s="15" t="s">
        <v>2716</v>
      </c>
      <c r="V2" s="16" t="s">
        <v>2717</v>
      </c>
      <c r="W2" s="16" t="s">
        <v>2718</v>
      </c>
      <c r="X2" s="15" t="s">
        <v>2719</v>
      </c>
      <c r="Y2" s="15" t="s">
        <v>2720</v>
      </c>
      <c r="Z2" s="15" t="s">
        <v>2721</v>
      </c>
      <c r="AA2" s="15" t="s">
        <v>2722</v>
      </c>
      <c r="AB2" s="15" t="s">
        <v>2716</v>
      </c>
      <c r="AC2" s="16" t="s">
        <v>2717</v>
      </c>
      <c r="AD2" s="16" t="s">
        <v>2718</v>
      </c>
      <c r="AE2" s="15" t="s">
        <v>2719</v>
      </c>
      <c r="AF2" s="15" t="s">
        <v>2720</v>
      </c>
      <c r="AG2" s="15" t="s">
        <v>2721</v>
      </c>
      <c r="AH2" s="15" t="s">
        <v>2722</v>
      </c>
      <c r="AI2" s="15" t="s">
        <v>2716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45474</v>
      </c>
      <c r="F3" s="19" t="n">
        <v>45475</v>
      </c>
      <c r="G3" s="19" t="n">
        <v>45476</v>
      </c>
      <c r="H3" s="19" t="n">
        <v>45477</v>
      </c>
      <c r="I3" s="19" t="n">
        <v>45478</v>
      </c>
      <c r="J3" s="19" t="n">
        <v>45479</v>
      </c>
      <c r="K3" s="19" t="n">
        <v>45480</v>
      </c>
      <c r="L3" s="19" t="n">
        <v>45481</v>
      </c>
      <c r="M3" s="19" t="n">
        <v>45482</v>
      </c>
      <c r="N3" s="19" t="n">
        <v>45483</v>
      </c>
      <c r="O3" s="19" t="n">
        <v>45484</v>
      </c>
      <c r="P3" s="19" t="n">
        <v>45485</v>
      </c>
      <c r="Q3" s="19" t="n">
        <v>45486</v>
      </c>
      <c r="R3" s="19" t="n">
        <v>45487</v>
      </c>
      <c r="S3" s="19" t="n">
        <v>45488</v>
      </c>
      <c r="T3" s="19" t="n">
        <v>45489</v>
      </c>
      <c r="U3" s="19" t="n">
        <v>45490</v>
      </c>
      <c r="V3" s="19" t="n">
        <v>45491</v>
      </c>
      <c r="W3" s="19" t="n">
        <v>45492</v>
      </c>
      <c r="X3" s="19" t="n">
        <v>45493</v>
      </c>
      <c r="Y3" s="19" t="n">
        <v>45494</v>
      </c>
      <c r="Z3" s="19" t="n">
        <v>45495</v>
      </c>
      <c r="AA3" s="19" t="n">
        <v>45496</v>
      </c>
      <c r="AB3" s="19" t="n">
        <v>45497</v>
      </c>
      <c r="AC3" s="19" t="n">
        <v>45498</v>
      </c>
      <c r="AD3" s="19" t="n">
        <v>45499</v>
      </c>
      <c r="AE3" s="19" t="n">
        <v>45500</v>
      </c>
      <c r="AF3" s="19" t="n">
        <v>45501</v>
      </c>
      <c r="AG3" s="19" t="n">
        <v>45502</v>
      </c>
      <c r="AH3" s="19" t="n">
        <v>45503</v>
      </c>
      <c r="AI3" s="19" t="n">
        <v>45504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 t="s">
        <v>43</v>
      </c>
      <c r="G4" s="24"/>
      <c r="H4" s="24"/>
      <c r="I4" s="24" t="s">
        <v>43</v>
      </c>
      <c r="J4" s="24"/>
      <c r="K4" s="24"/>
      <c r="L4" s="24" t="s">
        <v>43</v>
      </c>
      <c r="M4" s="24"/>
      <c r="N4" s="24" t="s">
        <v>43</v>
      </c>
      <c r="O4" s="24"/>
      <c r="P4" s="24"/>
      <c r="Q4" s="24"/>
      <c r="R4" s="24" t="s">
        <v>43</v>
      </c>
      <c r="S4" s="24"/>
      <c r="T4" s="24" t="s">
        <v>43</v>
      </c>
      <c r="U4" s="24"/>
      <c r="V4" s="24" t="s">
        <v>49</v>
      </c>
      <c r="W4" s="24"/>
      <c r="X4" s="24" t="s">
        <v>43</v>
      </c>
      <c r="Y4" s="24" t="s">
        <v>222</v>
      </c>
      <c r="Z4" s="24"/>
      <c r="AA4" s="24"/>
      <c r="AB4" s="24" t="s">
        <v>43</v>
      </c>
      <c r="AC4" s="24"/>
      <c r="AD4" s="24"/>
      <c r="AE4" s="24" t="s">
        <v>43</v>
      </c>
      <c r="AF4" s="24" t="s">
        <v>49</v>
      </c>
      <c r="AG4" s="24"/>
      <c r="AH4" s="24"/>
      <c r="AI4" s="24"/>
    </row>
    <row r="5" customFormat="false" ht="28.3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 t="s">
        <v>43</v>
      </c>
      <c r="H5" s="24"/>
      <c r="I5" s="24"/>
      <c r="J5" s="24" t="s">
        <v>49</v>
      </c>
      <c r="K5" s="24" t="s">
        <v>43</v>
      </c>
      <c r="L5" s="24"/>
      <c r="M5" s="24"/>
      <c r="N5" s="24" t="s">
        <v>43</v>
      </c>
      <c r="O5" s="24" t="s">
        <v>49</v>
      </c>
      <c r="P5" s="24"/>
      <c r="Q5" s="24" t="s">
        <v>43</v>
      </c>
      <c r="R5" s="24" t="s">
        <v>43</v>
      </c>
      <c r="S5" s="24" t="s">
        <v>43</v>
      </c>
      <c r="T5" s="24" t="s">
        <v>43</v>
      </c>
      <c r="U5" s="24"/>
      <c r="V5" s="24" t="s">
        <v>43</v>
      </c>
      <c r="W5" s="24"/>
      <c r="X5" s="24"/>
      <c r="Y5" s="24"/>
      <c r="Z5" s="24" t="s">
        <v>222</v>
      </c>
      <c r="AA5" s="24"/>
      <c r="AB5" s="24" t="s">
        <v>43</v>
      </c>
      <c r="AC5" s="24"/>
      <c r="AD5" s="68" t="s">
        <v>2769</v>
      </c>
      <c r="AE5" s="24"/>
      <c r="AF5" s="24"/>
      <c r="AG5" s="24"/>
      <c r="AH5" s="24"/>
      <c r="AI5" s="24"/>
    </row>
    <row r="6" customFormat="false" ht="55.2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/>
      <c r="G6" s="24"/>
      <c r="H6" s="24" t="s">
        <v>43</v>
      </c>
      <c r="I6" s="24"/>
      <c r="J6" s="24"/>
      <c r="K6" s="24" t="s">
        <v>43</v>
      </c>
      <c r="L6" s="24"/>
      <c r="M6" s="24" t="s">
        <v>43</v>
      </c>
      <c r="N6" s="24"/>
      <c r="O6" s="24" t="s">
        <v>49</v>
      </c>
      <c r="P6" s="24"/>
      <c r="Q6" s="24" t="s">
        <v>43</v>
      </c>
      <c r="R6" s="24"/>
      <c r="S6" s="68" t="s">
        <v>2767</v>
      </c>
      <c r="T6" s="24"/>
      <c r="U6" s="24" t="s">
        <v>54</v>
      </c>
      <c r="V6" s="24"/>
      <c r="W6" s="24" t="s">
        <v>43</v>
      </c>
      <c r="X6" s="24"/>
      <c r="Y6" s="24"/>
      <c r="Z6" s="24" t="s">
        <v>222</v>
      </c>
      <c r="AA6" s="24"/>
      <c r="AB6" s="24" t="s">
        <v>43</v>
      </c>
      <c r="AC6" s="24"/>
      <c r="AD6" s="24"/>
      <c r="AE6" s="24"/>
      <c r="AF6" s="24"/>
      <c r="AG6" s="24"/>
      <c r="AH6" s="24"/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 t="s">
        <v>43</v>
      </c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/>
      <c r="G8" s="24"/>
      <c r="H8" s="24"/>
      <c r="I8" s="24"/>
      <c r="J8" s="24"/>
      <c r="K8" s="24"/>
      <c r="L8" s="24" t="s">
        <v>49</v>
      </c>
      <c r="M8" s="24"/>
      <c r="N8" s="24" t="s">
        <v>49</v>
      </c>
      <c r="O8" s="24" t="s">
        <v>43</v>
      </c>
      <c r="P8" s="24"/>
      <c r="Q8" s="24" t="s">
        <v>49</v>
      </c>
      <c r="R8" s="24" t="s">
        <v>43</v>
      </c>
      <c r="S8" s="24" t="s">
        <v>49</v>
      </c>
      <c r="T8" s="24"/>
      <c r="U8" s="24"/>
      <c r="V8" s="24" t="s">
        <v>49</v>
      </c>
      <c r="W8" s="24"/>
      <c r="X8" s="24"/>
      <c r="Y8" s="24"/>
      <c r="Z8" s="24"/>
      <c r="AA8" s="24" t="s">
        <v>49</v>
      </c>
      <c r="AB8" s="24"/>
      <c r="AC8" s="7"/>
      <c r="AD8" s="7"/>
      <c r="AE8" s="7"/>
      <c r="AF8" s="7"/>
      <c r="AG8" s="7"/>
      <c r="AH8" s="24"/>
      <c r="AI8" s="24"/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/>
      <c r="G9" s="24"/>
      <c r="H9" s="24"/>
      <c r="I9" s="24" t="s">
        <v>49</v>
      </c>
      <c r="J9" s="24"/>
      <c r="K9" s="24"/>
      <c r="L9" s="24"/>
      <c r="M9" s="24"/>
      <c r="N9" s="24"/>
      <c r="O9" s="24"/>
      <c r="P9" s="24" t="s">
        <v>43</v>
      </c>
      <c r="Q9" s="24" t="s">
        <v>43</v>
      </c>
      <c r="R9" s="24" t="s">
        <v>43</v>
      </c>
      <c r="S9" s="24" t="s">
        <v>49</v>
      </c>
      <c r="T9" s="24" t="s">
        <v>43</v>
      </c>
      <c r="U9" s="24"/>
      <c r="V9" s="24"/>
      <c r="W9" s="24" t="s">
        <v>43</v>
      </c>
      <c r="X9" s="24"/>
      <c r="Y9" s="24"/>
      <c r="Z9" s="24"/>
      <c r="AA9" s="24"/>
      <c r="AB9" s="24"/>
      <c r="AC9" s="7" t="s">
        <v>2770</v>
      </c>
      <c r="AD9" s="24"/>
      <c r="AE9" s="24"/>
      <c r="AF9" s="24"/>
      <c r="AG9" s="24"/>
      <c r="AH9" s="24" t="s">
        <v>49</v>
      </c>
      <c r="AI9" s="24" t="s">
        <v>49</v>
      </c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 t="s">
        <v>222</v>
      </c>
      <c r="F10" s="24"/>
      <c r="G10" s="24"/>
      <c r="H10" s="24" t="s">
        <v>43</v>
      </c>
      <c r="I10" s="24" t="s">
        <v>43</v>
      </c>
      <c r="J10" s="24"/>
      <c r="K10" s="24"/>
      <c r="L10" s="24" t="s">
        <v>43</v>
      </c>
      <c r="M10" s="24"/>
      <c r="N10" s="24"/>
      <c r="O10" s="24" t="s">
        <v>49</v>
      </c>
      <c r="P10" s="24"/>
      <c r="Q10" s="24" t="s">
        <v>43</v>
      </c>
      <c r="R10" s="24"/>
      <c r="S10" s="24"/>
      <c r="T10" s="24" t="s">
        <v>43</v>
      </c>
      <c r="U10" s="24"/>
      <c r="V10" s="24"/>
      <c r="W10" s="24" t="s">
        <v>43</v>
      </c>
      <c r="X10" s="24" t="s">
        <v>2770</v>
      </c>
      <c r="Y10" s="24"/>
      <c r="Z10" s="24" t="s">
        <v>2770</v>
      </c>
      <c r="AA10" s="24"/>
      <c r="AB10" s="24" t="s">
        <v>43</v>
      </c>
      <c r="AC10" s="24" t="s">
        <v>43</v>
      </c>
      <c r="AD10" s="24" t="s">
        <v>43</v>
      </c>
      <c r="AE10" s="24"/>
      <c r="AF10" s="24" t="s">
        <v>43</v>
      </c>
      <c r="AG10" s="24" t="s">
        <v>43</v>
      </c>
      <c r="AH10" s="24"/>
      <c r="AI10" s="24" t="s">
        <v>43</v>
      </c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 t="s">
        <v>43</v>
      </c>
      <c r="H11" s="24"/>
      <c r="I11" s="24"/>
      <c r="J11" s="24" t="s">
        <v>43</v>
      </c>
      <c r="K11" s="24" t="s">
        <v>43</v>
      </c>
      <c r="L11" s="24"/>
      <c r="M11" s="24"/>
      <c r="N11" s="24"/>
      <c r="O11" s="24" t="s">
        <v>2770</v>
      </c>
      <c r="P11" s="24" t="s">
        <v>43</v>
      </c>
      <c r="Q11" s="24" t="s">
        <v>43</v>
      </c>
      <c r="R11" s="24"/>
      <c r="S11" s="24"/>
      <c r="T11" s="24"/>
      <c r="U11" s="24"/>
      <c r="V11" s="24" t="s">
        <v>43</v>
      </c>
      <c r="W11" s="24"/>
      <c r="X11" s="24"/>
      <c r="Y11" s="24"/>
      <c r="Z11" s="24"/>
      <c r="AA11" s="24" t="s">
        <v>43</v>
      </c>
      <c r="AB11" s="24" t="s">
        <v>43</v>
      </c>
      <c r="AC11" s="24"/>
      <c r="AD11" s="24" t="s">
        <v>43</v>
      </c>
      <c r="AE11" s="24" t="s">
        <v>49</v>
      </c>
      <c r="AF11" s="24"/>
      <c r="AG11" s="24"/>
      <c r="AH11" s="7"/>
      <c r="AI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/>
      <c r="K12" s="24"/>
      <c r="L12" s="24" t="s">
        <v>43</v>
      </c>
      <c r="M12" s="24"/>
      <c r="N12" s="24"/>
      <c r="O12" s="24" t="s">
        <v>49</v>
      </c>
      <c r="P12" s="24"/>
      <c r="Q12" s="24"/>
      <c r="R12" s="24" t="s">
        <v>49</v>
      </c>
      <c r="S12" s="24"/>
      <c r="T12" s="24"/>
      <c r="U12" s="24" t="s">
        <v>49</v>
      </c>
      <c r="V12" s="24"/>
      <c r="W12" s="24" t="s">
        <v>43</v>
      </c>
      <c r="X12" s="24" t="s">
        <v>49</v>
      </c>
      <c r="Y12" s="24"/>
      <c r="Z12" s="24" t="s">
        <v>222</v>
      </c>
      <c r="AA12" s="24"/>
      <c r="AB12" s="24" t="s">
        <v>43</v>
      </c>
      <c r="AC12" s="24"/>
      <c r="AD12" s="24" t="s">
        <v>49</v>
      </c>
      <c r="AE12" s="7" t="s">
        <v>43</v>
      </c>
      <c r="AF12" s="7"/>
      <c r="AG12" s="7"/>
      <c r="AH12" s="24"/>
      <c r="AI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 t="s">
        <v>222</v>
      </c>
      <c r="F13" s="24"/>
      <c r="G13" s="24"/>
      <c r="H13" s="24" t="s">
        <v>43</v>
      </c>
      <c r="I13" s="24"/>
      <c r="J13" s="24"/>
      <c r="K13" s="24"/>
      <c r="L13" s="24" t="s">
        <v>43</v>
      </c>
      <c r="M13" s="24"/>
      <c r="N13" s="24"/>
      <c r="O13" s="24" t="s">
        <v>49</v>
      </c>
      <c r="P13" s="24"/>
      <c r="Q13" s="24" t="s">
        <v>49</v>
      </c>
      <c r="R13" s="24"/>
      <c r="S13" s="24"/>
      <c r="T13" s="24"/>
      <c r="U13" s="24"/>
      <c r="V13" s="24" t="s">
        <v>43</v>
      </c>
      <c r="W13" s="24" t="s">
        <v>43</v>
      </c>
      <c r="X13" s="24"/>
      <c r="Y13" s="24"/>
      <c r="Z13" s="24" t="s">
        <v>222</v>
      </c>
      <c r="AA13" s="24"/>
      <c r="AB13" s="24" t="s">
        <v>43</v>
      </c>
      <c r="AC13" s="24"/>
      <c r="AD13" s="24" t="s">
        <v>43</v>
      </c>
      <c r="AE13" s="24"/>
      <c r="AF13" s="24"/>
      <c r="AG13" s="24" t="s">
        <v>49</v>
      </c>
      <c r="AH13" s="24"/>
      <c r="AI13" s="24" t="s">
        <v>43</v>
      </c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 t="s">
        <v>222</v>
      </c>
      <c r="F14" s="24"/>
      <c r="G14" s="24"/>
      <c r="H14" s="24" t="s">
        <v>43</v>
      </c>
      <c r="I14" s="24" t="s">
        <v>43</v>
      </c>
      <c r="J14" s="24" t="s">
        <v>43</v>
      </c>
      <c r="K14" s="24"/>
      <c r="L14" s="24" t="s">
        <v>43</v>
      </c>
      <c r="M14" s="24" t="s">
        <v>43</v>
      </c>
      <c r="N14" s="24"/>
      <c r="O14" s="24"/>
      <c r="P14" s="24"/>
      <c r="Q14" s="24" t="s">
        <v>43</v>
      </c>
      <c r="R14" s="24" t="s">
        <v>49</v>
      </c>
      <c r="S14" s="24"/>
      <c r="T14" s="24"/>
      <c r="U14" s="24"/>
      <c r="V14" s="24" t="s">
        <v>49</v>
      </c>
      <c r="W14" s="24" t="s">
        <v>43</v>
      </c>
      <c r="X14" s="24" t="s">
        <v>43</v>
      </c>
      <c r="Y14" s="24"/>
      <c r="Z14" s="24"/>
      <c r="AA14" s="24"/>
      <c r="AB14" s="24" t="s">
        <v>43</v>
      </c>
      <c r="AC14" s="24"/>
      <c r="AD14" s="24" t="s">
        <v>43</v>
      </c>
      <c r="AE14" s="24" t="s">
        <v>222</v>
      </c>
      <c r="AF14" s="24" t="s">
        <v>43</v>
      </c>
      <c r="AG14" s="24"/>
      <c r="AH14" s="24"/>
      <c r="AI14" s="24" t="s">
        <v>43</v>
      </c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 t="s">
        <v>43</v>
      </c>
      <c r="F15" s="24" t="s">
        <v>49</v>
      </c>
      <c r="G15" s="24"/>
      <c r="H15" s="24"/>
      <c r="I15" s="24" t="s">
        <v>43</v>
      </c>
      <c r="J15" s="24" t="s">
        <v>43</v>
      </c>
      <c r="K15" s="24"/>
      <c r="L15" s="24"/>
      <c r="M15" s="24"/>
      <c r="N15" s="24" t="s">
        <v>43</v>
      </c>
      <c r="O15" s="24" t="s">
        <v>49</v>
      </c>
      <c r="P15" s="24" t="s">
        <v>43</v>
      </c>
      <c r="Q15" s="24" t="s">
        <v>49</v>
      </c>
      <c r="R15" s="24"/>
      <c r="S15" s="24" t="s">
        <v>43</v>
      </c>
      <c r="T15" s="24"/>
      <c r="U15" s="24"/>
      <c r="V15" s="24" t="s">
        <v>43</v>
      </c>
      <c r="W15" s="24"/>
      <c r="X15" s="24" t="s">
        <v>2770</v>
      </c>
      <c r="Y15" s="24" t="s">
        <v>43</v>
      </c>
      <c r="Z15" s="24"/>
      <c r="AA15" s="24"/>
      <c r="AB15" s="24" t="s">
        <v>43</v>
      </c>
      <c r="AC15" s="24"/>
      <c r="AD15" s="24"/>
      <c r="AE15" s="24" t="s">
        <v>43</v>
      </c>
      <c r="AF15" s="24"/>
      <c r="AG15" s="24" t="s">
        <v>43</v>
      </c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/>
      <c r="H16" s="24"/>
      <c r="I16" s="24"/>
      <c r="J16" s="24" t="s">
        <v>49</v>
      </c>
      <c r="K16" s="24" t="s">
        <v>49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 t="s">
        <v>43</v>
      </c>
      <c r="Z16" s="24"/>
      <c r="AA16" s="24"/>
      <c r="AB16" s="24" t="s">
        <v>43</v>
      </c>
      <c r="AC16" s="24" t="s">
        <v>43</v>
      </c>
      <c r="AD16" s="24"/>
      <c r="AE16" s="24" t="s">
        <v>43</v>
      </c>
      <c r="AF16" s="24" t="s">
        <v>43</v>
      </c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 t="s">
        <v>43</v>
      </c>
      <c r="S17" s="24"/>
      <c r="T17" s="24"/>
      <c r="U17" s="24"/>
      <c r="V17" s="24"/>
      <c r="W17" s="24"/>
      <c r="X17" s="24"/>
      <c r="Y17" s="24" t="s">
        <v>43</v>
      </c>
      <c r="Z17" s="24" t="s">
        <v>222</v>
      </c>
      <c r="AA17" s="24"/>
      <c r="AB17" s="24" t="s">
        <v>43</v>
      </c>
      <c r="AC17" s="24"/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24" t="s">
        <v>43</v>
      </c>
      <c r="J18" s="24" t="s">
        <v>43</v>
      </c>
      <c r="K18" s="24" t="s">
        <v>43</v>
      </c>
      <c r="L18" s="24"/>
      <c r="M18" s="24"/>
      <c r="N18" s="24"/>
      <c r="O18" s="24" t="s">
        <v>2770</v>
      </c>
      <c r="P18" s="24" t="s">
        <v>43</v>
      </c>
      <c r="Q18" s="24"/>
      <c r="R18" s="24"/>
      <c r="S18" s="24"/>
      <c r="T18" s="24" t="s">
        <v>43</v>
      </c>
      <c r="U18" s="24"/>
      <c r="V18" s="24"/>
      <c r="W18" s="24"/>
      <c r="X18" s="24"/>
      <c r="Y18" s="24"/>
      <c r="Z18" s="24" t="s">
        <v>222</v>
      </c>
      <c r="AA18" s="24"/>
      <c r="AB18" s="24"/>
      <c r="AC18" s="24"/>
      <c r="AD18" s="24"/>
      <c r="AE18" s="24" t="s">
        <v>43</v>
      </c>
      <c r="AF18" s="24"/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/>
      <c r="H19" s="24"/>
      <c r="I19" s="24" t="s">
        <v>43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 t="s">
        <v>43</v>
      </c>
      <c r="G20" s="24"/>
      <c r="H20" s="24"/>
      <c r="I20" s="24" t="s">
        <v>43</v>
      </c>
      <c r="J20" s="24" t="s">
        <v>43</v>
      </c>
      <c r="K20" s="24"/>
      <c r="L20" s="24" t="s">
        <v>43</v>
      </c>
      <c r="M20" s="24"/>
      <c r="N20" s="24"/>
      <c r="O20" s="24" t="s">
        <v>43</v>
      </c>
      <c r="P20" s="24"/>
      <c r="Q20" s="24" t="s">
        <v>49</v>
      </c>
      <c r="R20" s="24" t="s">
        <v>43</v>
      </c>
      <c r="S20" s="24" t="s">
        <v>43</v>
      </c>
      <c r="T20" s="24" t="s">
        <v>49</v>
      </c>
      <c r="U20" s="24"/>
      <c r="V20" s="24" t="s">
        <v>43</v>
      </c>
      <c r="W20" s="24"/>
      <c r="X20" s="24"/>
      <c r="Y20" s="24" t="s">
        <v>43</v>
      </c>
      <c r="Z20" s="24" t="s">
        <v>43</v>
      </c>
      <c r="AA20" s="24"/>
      <c r="AB20" s="24"/>
      <c r="AC20" s="24" t="s">
        <v>43</v>
      </c>
      <c r="AD20" s="24" t="s">
        <v>43</v>
      </c>
      <c r="AE20" s="24"/>
      <c r="AF20" s="24"/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 t="s">
        <v>43</v>
      </c>
      <c r="H21" s="24"/>
      <c r="I21" s="24" t="s">
        <v>49</v>
      </c>
      <c r="J21" s="24"/>
      <c r="K21" s="24"/>
      <c r="L21" s="24" t="s">
        <v>43</v>
      </c>
      <c r="M21" s="24" t="s">
        <v>43</v>
      </c>
      <c r="N21" s="24" t="s">
        <v>43</v>
      </c>
      <c r="O21" s="24" t="s">
        <v>43</v>
      </c>
      <c r="P21" s="68" t="s">
        <v>2767</v>
      </c>
      <c r="Q21" s="24" t="s">
        <v>43</v>
      </c>
      <c r="R21" s="24" t="s">
        <v>43</v>
      </c>
      <c r="S21" s="24"/>
      <c r="T21" s="24" t="s">
        <v>43</v>
      </c>
      <c r="U21" s="24"/>
      <c r="V21" s="24"/>
      <c r="W21" s="68" t="s">
        <v>2767</v>
      </c>
      <c r="X21" s="24" t="s">
        <v>49</v>
      </c>
      <c r="Y21" s="24" t="s">
        <v>49</v>
      </c>
      <c r="Z21" s="24"/>
      <c r="AA21" s="24" t="s">
        <v>43</v>
      </c>
      <c r="AB21" s="1" t="s">
        <v>43</v>
      </c>
      <c r="AC21" s="24"/>
      <c r="AD21" s="24"/>
      <c r="AE21" s="24" t="s">
        <v>43</v>
      </c>
      <c r="AF21" s="24"/>
      <c r="AG21" s="24" t="s">
        <v>43</v>
      </c>
      <c r="AH21" s="24"/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 t="s">
        <v>49</v>
      </c>
      <c r="R22" s="24"/>
      <c r="S22" s="24"/>
      <c r="T22" s="24" t="s">
        <v>43</v>
      </c>
      <c r="U22" s="24"/>
      <c r="V22" s="24" t="s">
        <v>43</v>
      </c>
      <c r="W22" s="24" t="s">
        <v>43</v>
      </c>
      <c r="X22" s="24" t="s">
        <v>49</v>
      </c>
      <c r="Y22" s="24"/>
      <c r="Z22" s="24"/>
      <c r="AA22" s="24"/>
      <c r="AB22" s="24" t="s">
        <v>43</v>
      </c>
      <c r="AC22" s="24"/>
      <c r="AD22" s="24"/>
      <c r="AE22" s="24" t="s">
        <v>43</v>
      </c>
      <c r="AF22" s="24"/>
      <c r="AG22" s="24" t="s">
        <v>43</v>
      </c>
      <c r="AH22" s="24"/>
      <c r="AI22" s="24"/>
    </row>
    <row r="23" customFormat="false" ht="15.75" hidden="false" customHeight="true" outlineLevel="0" collapsed="false">
      <c r="A23" s="37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 t="s">
        <v>2770</v>
      </c>
      <c r="I23" s="24"/>
      <c r="J23" s="24"/>
      <c r="K23" s="24"/>
      <c r="L23" s="24"/>
      <c r="M23" s="24"/>
      <c r="N23" s="24"/>
      <c r="O23" s="24" t="s">
        <v>43</v>
      </c>
      <c r="P23" s="24"/>
      <c r="Q23" s="24" t="s">
        <v>2770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 t="s">
        <v>43</v>
      </c>
      <c r="AD23" s="24"/>
      <c r="AE23" s="24" t="s">
        <v>43</v>
      </c>
      <c r="AF23" s="24"/>
      <c r="AG23" s="24"/>
      <c r="AH23" s="24"/>
      <c r="AI23" s="24"/>
    </row>
    <row r="24" customFormat="false" ht="15.75" hidden="false" customHeight="true" outlineLevel="0" collapsed="false">
      <c r="A24" s="38" t="n">
        <v>21</v>
      </c>
      <c r="B24" s="24" t="s">
        <v>209</v>
      </c>
      <c r="C24" s="24" t="s">
        <v>209</v>
      </c>
      <c r="D24" s="39" t="n">
        <v>1</v>
      </c>
      <c r="E24" s="24"/>
      <c r="F24" s="24"/>
      <c r="G24" s="24" t="s">
        <v>2770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24" t="s">
        <v>2740</v>
      </c>
      <c r="C29" s="24" t="n">
        <f aca="false">SUM(C30:C34)</f>
        <v>21</v>
      </c>
      <c r="D29" s="44" t="n">
        <f aca="false">C29*7</f>
        <v>147</v>
      </c>
      <c r="E29" s="24" t="n">
        <f aca="false">C29*31</f>
        <v>651</v>
      </c>
      <c r="G29" s="44"/>
      <c r="H29" s="47" t="n">
        <v>45474</v>
      </c>
      <c r="I29" s="44" t="s">
        <v>2775</v>
      </c>
      <c r="J29" s="44" t="s">
        <v>2776</v>
      </c>
      <c r="K29" s="44"/>
      <c r="L29" s="47" t="n">
        <v>45474</v>
      </c>
      <c r="M29" s="44" t="s">
        <v>2741</v>
      </c>
      <c r="N29" s="44" t="s">
        <v>2742</v>
      </c>
      <c r="Q29" s="36" t="s">
        <v>2740</v>
      </c>
      <c r="R29" s="24" t="n">
        <f aca="false">SUM(R30:R34)</f>
        <v>17</v>
      </c>
      <c r="S29" s="24" t="n">
        <f aca="false">R29*31</f>
        <v>527</v>
      </c>
      <c r="T29" s="24" t="n">
        <f aca="false">SUM(T30:T34)</f>
        <v>200</v>
      </c>
      <c r="U29" s="48" t="n">
        <f aca="false">T29/S29</f>
        <v>0.379506641366224</v>
      </c>
    </row>
    <row r="30" customFormat="false" ht="15.75" hidden="false" customHeight="true" outlineLevel="0" collapsed="false">
      <c r="B30" s="24" t="s">
        <v>65</v>
      </c>
      <c r="C30" s="24" t="n">
        <f aca="false">COUNTIF($B$4:$B$24,B30)</f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1</v>
      </c>
      <c r="I30" s="24" t="n">
        <f aca="false">COUNTA(J4:P9)</f>
        <v>13</v>
      </c>
      <c r="J30" s="24" t="n">
        <f aca="false">COUNTA(E4:AI9)</f>
        <v>55</v>
      </c>
      <c r="K30" s="24" t="s">
        <v>65</v>
      </c>
      <c r="L30" s="24" t="n">
        <f aca="false">COUNTBLANK(E4:E9)</f>
        <v>5</v>
      </c>
      <c r="M30" s="24" t="n">
        <f aca="false">COUNTBLANK(J4:P9)</f>
        <v>29</v>
      </c>
      <c r="N30" s="49" t="n">
        <f aca="false">COUNTBLANK(E4:AI9)</f>
        <v>131</v>
      </c>
      <c r="O30" s="50" t="n">
        <f aca="false">J30+N30</f>
        <v>186</v>
      </c>
      <c r="Q30" s="24" t="s">
        <v>65</v>
      </c>
      <c r="R30" s="24" t="n">
        <v>6</v>
      </c>
      <c r="S30" s="24" t="n">
        <f aca="false">R30*31</f>
        <v>186</v>
      </c>
      <c r="T30" s="24" t="n">
        <f aca="false">J30</f>
        <v>55</v>
      </c>
      <c r="U30" s="48" t="n">
        <f aca="false">T30/S30</f>
        <v>0.295698924731183</v>
      </c>
    </row>
    <row r="31" customFormat="false" ht="15.75" hidden="false" customHeight="true" outlineLevel="0" collapsed="false">
      <c r="B31" s="24" t="s">
        <v>60</v>
      </c>
      <c r="C31" s="24" t="n">
        <f aca="false">COUNTIF($B$4:$B$24,B31)</f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24" t="n">
        <f aca="false">COUNTA(E10:E13)</f>
        <v>2</v>
      </c>
      <c r="I31" s="24" t="n">
        <f aca="false">COUNTA(J10:P13)</f>
        <v>10</v>
      </c>
      <c r="J31" s="24" t="n">
        <f aca="false">COUNTA(E10:AI13)</f>
        <v>50</v>
      </c>
      <c r="K31" s="24" t="s">
        <v>60</v>
      </c>
      <c r="L31" s="49" t="n">
        <f aca="false">COUNTBLANK(E10:E13)</f>
        <v>2</v>
      </c>
      <c r="M31" s="24" t="n">
        <f aca="false">COUNTBLANK(J10:P13)</f>
        <v>18</v>
      </c>
      <c r="N31" s="24" t="n">
        <f aca="false">COUNTBLANK(E10:AI13)</f>
        <v>74</v>
      </c>
      <c r="O31" s="50" t="n">
        <f aca="false">J31+N31</f>
        <v>124</v>
      </c>
      <c r="Q31" s="24" t="s">
        <v>60</v>
      </c>
      <c r="R31" s="24" t="n">
        <v>4</v>
      </c>
      <c r="S31" s="24" t="n">
        <f aca="false">R31*31</f>
        <v>124</v>
      </c>
      <c r="T31" s="24" t="n">
        <f aca="false">J31</f>
        <v>50</v>
      </c>
      <c r="U31" s="48" t="n">
        <f aca="false">T31/S31</f>
        <v>0.403225806451613</v>
      </c>
    </row>
    <row r="32" customFormat="false" ht="15.75" hidden="false" customHeight="true" outlineLevel="0" collapsed="false">
      <c r="B32" s="24" t="s">
        <v>71</v>
      </c>
      <c r="C32" s="24" t="n">
        <f aca="false">COUNTIF($B$4:$B$24,B32)</f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24" t="n">
        <f aca="false">COUNTA(E14:E16)</f>
        <v>2</v>
      </c>
      <c r="I32" s="24" t="n">
        <f aca="false">COUNTA(J14:P16)</f>
        <v>9</v>
      </c>
      <c r="J32" s="24" t="n">
        <f aca="false">COUNTA(E14:AI16)</f>
        <v>38</v>
      </c>
      <c r="K32" s="24" t="s">
        <v>71</v>
      </c>
      <c r="L32" s="49" t="n">
        <f aca="false">COUNTBLANK(E14:E16)</f>
        <v>1</v>
      </c>
      <c r="M32" s="24" t="n">
        <f aca="false">COUNTBLANK(J14:P15)</f>
        <v>7</v>
      </c>
      <c r="N32" s="24" t="n">
        <f aca="false">COUNTBLANK(E14:AI15)</f>
        <v>31</v>
      </c>
      <c r="O32" s="50" t="n">
        <f aca="false">J32+N32</f>
        <v>69</v>
      </c>
      <c r="Q32" s="24" t="s">
        <v>71</v>
      </c>
      <c r="R32" s="24" t="n">
        <v>2</v>
      </c>
      <c r="S32" s="24" t="n">
        <f aca="false">R32*31</f>
        <v>62</v>
      </c>
      <c r="T32" s="24" t="n">
        <f aca="false">J32</f>
        <v>38</v>
      </c>
      <c r="U32" s="48" t="n">
        <f aca="false">T32/S32</f>
        <v>0.612903225806452</v>
      </c>
    </row>
    <row r="33" customFormat="false" ht="15.75" hidden="false" customHeight="true" outlineLevel="0" collapsed="false">
      <c r="B33" s="24" t="s">
        <v>31</v>
      </c>
      <c r="C33" s="24" t="n">
        <f aca="false">COUNTIF($B$4:$B$24,B33)</f>
        <v>7</v>
      </c>
      <c r="D33" s="44" t="n">
        <f aca="false">C33*7</f>
        <v>49</v>
      </c>
      <c r="E33" s="24" t="n">
        <f aca="false">C33*31</f>
        <v>217</v>
      </c>
      <c r="G33" s="24" t="s">
        <v>2743</v>
      </c>
      <c r="H33" s="24" t="n">
        <f aca="false">COUNTA(E17:E23)</f>
        <v>0</v>
      </c>
      <c r="I33" s="24" t="n">
        <f aca="false">COUNTA(J17:P23)</f>
        <v>13</v>
      </c>
      <c r="J33" s="24" t="n">
        <f aca="false">COUNTA(E17:AI23)</f>
        <v>57</v>
      </c>
      <c r="K33" s="24" t="s">
        <v>2743</v>
      </c>
      <c r="L33" s="49" t="n">
        <f aca="false">COUNTBLANK(E17:E23)</f>
        <v>7</v>
      </c>
      <c r="M33" s="24" t="n">
        <f aca="false">COUNTBLANK(J19:P22)</f>
        <v>20</v>
      </c>
      <c r="N33" s="24" t="n">
        <f aca="false">COUNTBLANK(E19:AI22)</f>
        <v>84</v>
      </c>
      <c r="O33" s="50" t="n">
        <f aca="false">J33+N33</f>
        <v>141</v>
      </c>
      <c r="Q33" s="51" t="s">
        <v>2743</v>
      </c>
      <c r="R33" s="51" t="n">
        <v>4</v>
      </c>
      <c r="S33" s="24" t="n">
        <f aca="false">R33*31</f>
        <v>124</v>
      </c>
      <c r="T33" s="24" t="n">
        <f aca="false">J33</f>
        <v>57</v>
      </c>
      <c r="U33" s="48" t="n">
        <f aca="false">T33/S33</f>
        <v>0.459677419354839</v>
      </c>
    </row>
    <row r="34" customFormat="false" ht="15.75" hidden="false" customHeight="true" outlineLevel="0" collapsed="false">
      <c r="B34" s="24" t="s">
        <v>209</v>
      </c>
      <c r="C34" s="24" t="n">
        <f aca="false">COUNTIF($B$4:$B$24,B34)</f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f aca="false">COUNTA(E24)</f>
        <v>0</v>
      </c>
      <c r="I34" s="24" t="n">
        <f aca="false">COUNTA(J24)</f>
        <v>0</v>
      </c>
      <c r="J34" s="24" t="n">
        <f aca="false">COUNTA(E24)</f>
        <v>0</v>
      </c>
      <c r="K34" s="24" t="s">
        <v>2744</v>
      </c>
      <c r="L34" s="24" t="n">
        <f aca="false">COUNTBLANK(E24)</f>
        <v>1</v>
      </c>
      <c r="M34" s="24" t="n">
        <f aca="false">COUNTBLANK(J24:P24)</f>
        <v>7</v>
      </c>
      <c r="N34" s="24" t="n">
        <f aca="false">COUNTBLANK(E24:AI24)</f>
        <v>30</v>
      </c>
      <c r="O34" s="50" t="n">
        <f aca="false">J34+N34</f>
        <v>30</v>
      </c>
      <c r="Q34" s="24" t="s">
        <v>2744</v>
      </c>
      <c r="R34" s="24" t="n">
        <v>1</v>
      </c>
      <c r="S34" s="24" t="n">
        <f aca="false">R34*31</f>
        <v>31</v>
      </c>
      <c r="T34" s="24" t="n">
        <f aca="false">J34</f>
        <v>0</v>
      </c>
      <c r="U34" s="48" t="n">
        <f aca="false">T34/S34</f>
        <v>0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  <c r="M37" s="53" t="s">
        <v>2746</v>
      </c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5" t="s">
        <v>2737</v>
      </c>
      <c r="N38" s="54" t="s">
        <v>2749</v>
      </c>
      <c r="O38" s="54" t="s">
        <v>2750</v>
      </c>
      <c r="P38" s="54" t="s">
        <v>2751</v>
      </c>
      <c r="Q38" s="54" t="s">
        <v>2752</v>
      </c>
      <c r="R38" s="54" t="s">
        <v>2753</v>
      </c>
      <c r="S38" s="54" t="s">
        <v>2754</v>
      </c>
      <c r="T38" s="54" t="s">
        <v>2755</v>
      </c>
      <c r="U38" s="54" t="s">
        <v>36</v>
      </c>
      <c r="V38" s="54" t="s">
        <v>2756</v>
      </c>
      <c r="W38" s="54" t="s">
        <v>2757</v>
      </c>
      <c r="X38" s="54" t="s">
        <v>2758</v>
      </c>
      <c r="Y38" s="43" t="s">
        <v>2759</v>
      </c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SUMPRODUCT(LEN($E$4:$AI$24)-LEN(SUBSTITUTE($E$4:$AI$24,B39,"")))/LEN(B39)</f>
        <v>0</v>
      </c>
      <c r="M39" s="56" t="s">
        <v>65</v>
      </c>
      <c r="N39" s="43" t="n">
        <f aca="false">E30</f>
        <v>186</v>
      </c>
      <c r="O39" s="24" t="n">
        <f aca="false">COUNTIF($E$4:$AI$9,O44)</f>
        <v>0</v>
      </c>
      <c r="P39" s="24" t="n">
        <f aca="false">COUNTIF($E$4:$AI$9,P44)</f>
        <v>0</v>
      </c>
      <c r="Q39" s="24" t="n">
        <f aca="false">COUNTIF($E$4:$AI$9,Q44)</f>
        <v>0</v>
      </c>
      <c r="R39" s="24" t="n">
        <f aca="false">COUNTIF($E$4:$AI$9,R44)</f>
        <v>33</v>
      </c>
      <c r="S39" s="24" t="n">
        <f aca="false">COUNTIF($E$4:$AI$9,S44)</f>
        <v>0</v>
      </c>
      <c r="T39" s="24" t="n">
        <f aca="false">COUNTIF($E$4:$AI$9,T44)</f>
        <v>0</v>
      </c>
      <c r="U39" s="24" t="n">
        <f aca="false">COUNTIF($E$4:$AI$9,U44)</f>
        <v>0</v>
      </c>
      <c r="V39" s="24" t="n">
        <f aca="false">COUNTIF($E$4:$AI$9,V44)</f>
        <v>0</v>
      </c>
      <c r="W39" s="24" t="n">
        <f aca="false">COUNTIF($E$4:$AI$9,W44)</f>
        <v>0</v>
      </c>
      <c r="X39" s="24" t="n">
        <f aca="false">COUNTIF($E$4:$AI$9,X44)</f>
        <v>1</v>
      </c>
      <c r="Y39" s="24" t="n">
        <f aca="false">COUNTIF($E$4:$AI$9,Y44)</f>
        <v>0</v>
      </c>
      <c r="Z39" s="50" t="n">
        <f aca="false">SUM(O39:Y39)</f>
        <v>34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SUMPRODUCT(LEN($E$4:$AI$24)-LEN(SUBSTITUTE($E$4:$AI$24,B40,"")))/LEN(B40)</f>
        <v>0</v>
      </c>
      <c r="M40" s="56" t="s">
        <v>60</v>
      </c>
      <c r="N40" s="43" t="n">
        <f aca="false">E31</f>
        <v>124</v>
      </c>
      <c r="O40" s="24" t="n">
        <f aca="false">COUNTIF($E$10:$AI$13,O44)</f>
        <v>0</v>
      </c>
      <c r="P40" s="24" t="n">
        <f aca="false">COUNTIF($E$10:$AI$13,P44)</f>
        <v>0</v>
      </c>
      <c r="Q40" s="24" t="n">
        <f aca="false">COUNTIF($E$10:$AI$13,Q44)</f>
        <v>0</v>
      </c>
      <c r="R40" s="24" t="n">
        <f aca="false">COUNTIF($E$10:$AI$13,R44)</f>
        <v>33</v>
      </c>
      <c r="S40" s="24" t="n">
        <f aca="false">COUNTIF($E$10:$AI$13,S44)</f>
        <v>0</v>
      </c>
      <c r="T40" s="24" t="n">
        <f aca="false">COUNTIF($E$10:$AI$13,T44)</f>
        <v>0</v>
      </c>
      <c r="U40" s="24" t="n">
        <f aca="false">COUNTIF($E$10:$AI$13,U44)</f>
        <v>0</v>
      </c>
      <c r="V40" s="24" t="n">
        <f aca="false">COUNTIF($E$10:$AI$13,V44)</f>
        <v>0</v>
      </c>
      <c r="W40" s="24" t="n">
        <f aca="false">COUNTIF($E$10:$AI$13,W44)</f>
        <v>0</v>
      </c>
      <c r="X40" s="24" t="n">
        <f aca="false">COUNTIF($E$10:$AI$13,X44)</f>
        <v>0</v>
      </c>
      <c r="Y40" s="24" t="n">
        <f aca="false">COUNTIF($E$10:$AI$13,Y44)</f>
        <v>0</v>
      </c>
      <c r="Z40" s="50" t="n">
        <f aca="false">SUM(O40:Y40)</f>
        <v>33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SUMPRODUCT(LEN($E$4:$AI$24)-LEN(SUBSTITUTE($E$4:$AI$24,B41,"")))/LEN(B41)</f>
        <v>0</v>
      </c>
      <c r="M41" s="56" t="s">
        <v>71</v>
      </c>
      <c r="N41" s="43" t="n">
        <f aca="false">E32</f>
        <v>93</v>
      </c>
      <c r="O41" s="24" t="n">
        <f aca="false">COUNTIF($E$14:$AH$15,O44)</f>
        <v>0</v>
      </c>
      <c r="P41" s="24" t="n">
        <f aca="false">COUNTIF($E$14:$AH$15,P44)</f>
        <v>0</v>
      </c>
      <c r="Q41" s="24" t="n">
        <f aca="false">COUNTIF($E$14:$AH$15,Q44)</f>
        <v>0</v>
      </c>
      <c r="R41" s="24" t="n">
        <f aca="false">COUNTIF($E$14:$AH$15,R44)</f>
        <v>22</v>
      </c>
      <c r="S41" s="24" t="n">
        <f aca="false">COUNTIF($E$14:$AH$15,S44)</f>
        <v>0</v>
      </c>
      <c r="T41" s="24" t="n">
        <f aca="false">COUNTIF($E$14:$AH$15,T44)</f>
        <v>0</v>
      </c>
      <c r="U41" s="24" t="n">
        <f aca="false">COUNTIF($E$14:$AH$15,U44)</f>
        <v>0</v>
      </c>
      <c r="V41" s="24" t="n">
        <f aca="false">COUNTIF($E$14:$AH$15,V44)</f>
        <v>0</v>
      </c>
      <c r="W41" s="24" t="n">
        <f aca="false">COUNTIF($E$14:$AH$15,W44)</f>
        <v>0</v>
      </c>
      <c r="X41" s="24" t="n">
        <f aca="false">COUNTIF($E$14:$AH$15,X44)</f>
        <v>0</v>
      </c>
      <c r="Y41" s="24" t="n">
        <f aca="false">COUNTIF($E$14:$AH$15,Y44)</f>
        <v>0</v>
      </c>
      <c r="Z41" s="50" t="n">
        <f aca="false">SUM(O41:Y41)</f>
        <v>22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SUMPRODUCT(LEN($E$4:$AI$24)-LEN(SUBSTITUTE($E$4:$AI$24,B42,"")))/LEN(B42)</f>
        <v>144</v>
      </c>
      <c r="M42" s="57" t="s">
        <v>2743</v>
      </c>
      <c r="N42" s="43" t="n">
        <f aca="false">E33</f>
        <v>217</v>
      </c>
      <c r="O42" s="24" t="n">
        <f aca="false">COUNTIF($E$19:$AI$22,O44)</f>
        <v>0</v>
      </c>
      <c r="P42" s="24" t="n">
        <f aca="false">COUNTIF($E$19:$AI$22,P44)</f>
        <v>0</v>
      </c>
      <c r="Q42" s="24" t="n">
        <f aca="false">COUNTIF($E$19:$AI$22,Q44)</f>
        <v>0</v>
      </c>
      <c r="R42" s="24" t="n">
        <f aca="false">COUNTIF($E$19:$AI$22,R44)</f>
        <v>31</v>
      </c>
      <c r="S42" s="24" t="n">
        <f aca="false">COUNTIF($E$19:$AI$22,S44)</f>
        <v>0</v>
      </c>
      <c r="T42" s="24" t="n">
        <f aca="false">COUNTIF($E$19:$AI$22,T44)</f>
        <v>0</v>
      </c>
      <c r="U42" s="24" t="n">
        <f aca="false">COUNTIF($E$19:$AI$22,U44)</f>
        <v>0</v>
      </c>
      <c r="V42" s="24" t="n">
        <f aca="false">COUNTIF($E$19:$AI$22,V44)</f>
        <v>0</v>
      </c>
      <c r="W42" s="24" t="n">
        <f aca="false">COUNTIF($E$19:$AI$22,W44)</f>
        <v>0</v>
      </c>
      <c r="X42" s="24" t="n">
        <f aca="false">COUNTIF($E$19:$AI$22,X44)</f>
        <v>0</v>
      </c>
      <c r="Y42" s="24" t="n">
        <f aca="false">COUNTIF($E$19:$AI$22,Y44)</f>
        <v>0</v>
      </c>
      <c r="Z42" s="50" t="n">
        <f aca="false">SUM(O42:Y42)</f>
        <v>31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SUMPRODUCT(LEN($E$4:$AI$24)-LEN(SUBSTITUTE($E$4:$AI$24,B43,"")))/LEN(B43)</f>
        <v>0</v>
      </c>
      <c r="M43" s="56" t="s">
        <v>2744</v>
      </c>
      <c r="N43" s="43" t="n">
        <f aca="false">E34</f>
        <v>31</v>
      </c>
      <c r="O43" s="24" t="n">
        <f aca="false">COUNTIF($E$24:$AI$24,O44)</f>
        <v>0</v>
      </c>
      <c r="P43" s="24" t="n">
        <f aca="false">COUNTIF($E$24:$AI$24,P44)</f>
        <v>0</v>
      </c>
      <c r="Q43" s="24" t="n">
        <f aca="false">COUNTIF($E$24:$AI$24,Q44)</f>
        <v>0</v>
      </c>
      <c r="R43" s="24" t="n">
        <f aca="false">COUNTIF($E$24:$AI$24,R44)</f>
        <v>0</v>
      </c>
      <c r="S43" s="24" t="n">
        <f aca="false">COUNTIF($E$24:$AI$24,S44)</f>
        <v>0</v>
      </c>
      <c r="T43" s="24" t="n">
        <f aca="false">COUNTIF($E$24:$AI$24,T44)</f>
        <v>0</v>
      </c>
      <c r="U43" s="24" t="n">
        <f aca="false">COUNTIF($E$24:$AI$24,U44)</f>
        <v>0</v>
      </c>
      <c r="V43" s="24" t="n">
        <f aca="false">COUNTIF($E$24:$AI$24,V44)</f>
        <v>0</v>
      </c>
      <c r="W43" s="24" t="n">
        <f aca="false">COUNTIF($E$24:$AI$24,W44)</f>
        <v>0</v>
      </c>
      <c r="X43" s="24" t="n">
        <f aca="false">COUNTIF($E$24:$AI$24,X44)</f>
        <v>0</v>
      </c>
      <c r="Y43" s="24" t="n">
        <f aca="false">COUNTIF($E$24:$AI$24,Y44)</f>
        <v>0</v>
      </c>
      <c r="Z43" s="50" t="n">
        <f aca="false">SUM(O43:Y43)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SUMPRODUCT(LEN($E$4:$AI$24)-LEN(SUBSTITUTE($E$4:$AI$24,B44,"")))/LEN(B44)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  <c r="Z44" s="50" t="n">
        <f aca="false">SUM(Z39:Z43)</f>
        <v>120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SUMPRODUCT(LEN($E$4:$AI$24)-LEN(SUBSTITUTE($E$4:$AI$24,B45,"")))/LEN(B45)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SUMPRODUCT(LEN($E$4:$AI$24)-LEN(SUBSTITUTE($E$4:$AI$24,B46,"")))/LEN(B46)</f>
        <v>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SUMPRODUCT(LEN($E$4:$AI$24)-LEN(SUBSTITUTE($E$4:$AI$24,B47,"")))/LEN(B47)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SUMPRODUCT(LEN($E$4:$AI$24)-LEN(SUBSTITUTE($E$4:$AI$24,B48,"")))/LEN(B48)</f>
        <v>1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SUMPRODUCT(LEN($E$4:$AI$24)-LEN(SUBSTITUTE($E$4:$AI$24,B49,"")))/LEN(B49)</f>
        <v>0</v>
      </c>
    </row>
    <row r="50" customFormat="false" ht="15.75" hidden="false" customHeight="true" outlineLevel="0" collapsed="false">
      <c r="B50" s="24" t="s">
        <v>2770</v>
      </c>
      <c r="C50" s="24" t="s">
        <v>2770</v>
      </c>
      <c r="D50" s="18"/>
      <c r="G50" s="24" t="s">
        <v>2770</v>
      </c>
      <c r="H50" s="24"/>
      <c r="I50" s="24"/>
      <c r="J50" s="24" t="n">
        <f aca="false">SUMPRODUCT(LEN($E$4:$AI$24)-LEN(SUBSTITUTE($E$4:$AI$24,B50,"")))/LEN(B50)</f>
        <v>9</v>
      </c>
    </row>
    <row r="51" customFormat="false" ht="15.75" hidden="false" customHeight="true" outlineLevel="0" collapsed="false">
      <c r="B51" s="24" t="s">
        <v>49</v>
      </c>
      <c r="C51" s="24" t="s">
        <v>2773</v>
      </c>
      <c r="D51" s="18"/>
      <c r="G51" s="24" t="s">
        <v>2773</v>
      </c>
      <c r="H51" s="24"/>
      <c r="I51" s="24"/>
      <c r="J51" s="24" t="n">
        <f aca="false">SUMPRODUCT(LEN($E$4:$AI$24)-LEN(SUBSTITUTE($E$4:$AI$24,B51,"")))/LEN(B51)</f>
        <v>40</v>
      </c>
    </row>
    <row r="52" customFormat="false" ht="15.75" hidden="false" customHeight="true" outlineLevel="0" collapsed="false">
      <c r="B52" s="24" t="s">
        <v>113</v>
      </c>
      <c r="C52" s="24" t="s">
        <v>113</v>
      </c>
      <c r="D52" s="18"/>
      <c r="G52" s="24" t="s">
        <v>113</v>
      </c>
      <c r="H52" s="24"/>
      <c r="I52" s="24"/>
      <c r="J52" s="24" t="n">
        <f aca="false">SUMPRODUCT(LEN($E$4:$AI$24)-LEN(SUBSTITUTE($E$4:$AI$24,B52,"")))/LEN(B52)</f>
        <v>0</v>
      </c>
    </row>
    <row r="53" customFormat="false" ht="15.75" hidden="false" customHeight="true" outlineLevel="0" collapsed="false">
      <c r="B53" s="24" t="s">
        <v>222</v>
      </c>
      <c r="C53" s="24" t="s">
        <v>222</v>
      </c>
      <c r="D53" s="18"/>
      <c r="G53" s="24" t="s">
        <v>222</v>
      </c>
      <c r="H53" s="24"/>
      <c r="I53" s="24"/>
      <c r="J53" s="24" t="n">
        <f aca="false">SUMPRODUCT(LEN($E$4:$AI$24)-LEN(SUBSTITUTE($E$4:$AI$24,B53,"")))/LEN(B53)</f>
        <v>11</v>
      </c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7:Y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4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2777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2717</v>
      </c>
      <c r="F2" s="15" t="s">
        <v>2718</v>
      </c>
      <c r="G2" s="15" t="s">
        <v>2719</v>
      </c>
      <c r="H2" s="16" t="s">
        <v>2720</v>
      </c>
      <c r="I2" s="16" t="s">
        <v>2721</v>
      </c>
      <c r="J2" s="15" t="s">
        <v>2722</v>
      </c>
      <c r="K2" s="15" t="s">
        <v>2716</v>
      </c>
      <c r="L2" s="15" t="s">
        <v>2717</v>
      </c>
      <c r="M2" s="15" t="s">
        <v>2718</v>
      </c>
      <c r="N2" s="15" t="s">
        <v>2719</v>
      </c>
      <c r="O2" s="16" t="s">
        <v>2720</v>
      </c>
      <c r="P2" s="16" t="s">
        <v>2721</v>
      </c>
      <c r="Q2" s="15" t="s">
        <v>2722</v>
      </c>
      <c r="R2" s="15" t="s">
        <v>2716</v>
      </c>
      <c r="S2" s="15" t="s">
        <v>2717</v>
      </c>
      <c r="T2" s="15" t="s">
        <v>2718</v>
      </c>
      <c r="U2" s="15" t="s">
        <v>2719</v>
      </c>
      <c r="V2" s="16" t="s">
        <v>2720</v>
      </c>
      <c r="W2" s="16" t="s">
        <v>2721</v>
      </c>
      <c r="X2" s="15" t="s">
        <v>2722</v>
      </c>
      <c r="Y2" s="15" t="s">
        <v>2716</v>
      </c>
      <c r="Z2" s="15" t="s">
        <v>2717</v>
      </c>
      <c r="AA2" s="15" t="s">
        <v>2718</v>
      </c>
      <c r="AB2" s="15" t="s">
        <v>2719</v>
      </c>
      <c r="AC2" s="16" t="s">
        <v>2720</v>
      </c>
      <c r="AD2" s="16" t="s">
        <v>2721</v>
      </c>
      <c r="AE2" s="15" t="s">
        <v>2722</v>
      </c>
      <c r="AF2" s="15" t="s">
        <v>2716</v>
      </c>
      <c r="AG2" s="15" t="s">
        <v>2717</v>
      </c>
      <c r="AH2" s="15" t="s">
        <v>2718</v>
      </c>
      <c r="AI2" s="15" t="s">
        <v>2719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45505</v>
      </c>
      <c r="F3" s="19" t="n">
        <v>45506</v>
      </c>
      <c r="G3" s="19" t="n">
        <v>45507</v>
      </c>
      <c r="H3" s="19" t="n">
        <v>45508</v>
      </c>
      <c r="I3" s="19" t="n">
        <v>45509</v>
      </c>
      <c r="J3" s="19" t="n">
        <v>45510</v>
      </c>
      <c r="K3" s="19" t="n">
        <v>45511</v>
      </c>
      <c r="L3" s="19" t="n">
        <v>45512</v>
      </c>
      <c r="M3" s="19" t="n">
        <v>45513</v>
      </c>
      <c r="N3" s="19" t="n">
        <v>45514</v>
      </c>
      <c r="O3" s="19" t="n">
        <v>45515</v>
      </c>
      <c r="P3" s="19" t="n">
        <v>45516</v>
      </c>
      <c r="Q3" s="19" t="n">
        <v>45517</v>
      </c>
      <c r="R3" s="19" t="n">
        <v>45518</v>
      </c>
      <c r="S3" s="19" t="n">
        <v>45519</v>
      </c>
      <c r="T3" s="19" t="n">
        <v>45520</v>
      </c>
      <c r="U3" s="19" t="n">
        <v>45521</v>
      </c>
      <c r="V3" s="19" t="n">
        <v>45522</v>
      </c>
      <c r="W3" s="19" t="n">
        <v>45523</v>
      </c>
      <c r="X3" s="19" t="n">
        <v>45524</v>
      </c>
      <c r="Y3" s="19" t="n">
        <v>45525</v>
      </c>
      <c r="Z3" s="19" t="n">
        <v>45526</v>
      </c>
      <c r="AA3" s="19" t="n">
        <v>45527</v>
      </c>
      <c r="AB3" s="19" t="n">
        <v>45528</v>
      </c>
      <c r="AC3" s="19" t="n">
        <v>45529</v>
      </c>
      <c r="AD3" s="19" t="n">
        <v>45530</v>
      </c>
      <c r="AE3" s="19" t="n">
        <v>45531</v>
      </c>
      <c r="AF3" s="19" t="n">
        <v>45532</v>
      </c>
      <c r="AG3" s="19" t="n">
        <v>45533</v>
      </c>
      <c r="AH3" s="19" t="n">
        <v>45534</v>
      </c>
      <c r="AI3" s="19" t="n">
        <v>45535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/>
      <c r="G4" s="24"/>
      <c r="H4" s="24"/>
      <c r="I4" s="24"/>
      <c r="J4" s="24"/>
      <c r="K4" s="24"/>
      <c r="L4" s="24"/>
      <c r="M4" s="24" t="s">
        <v>43</v>
      </c>
      <c r="N4" s="24"/>
      <c r="O4" s="24" t="s">
        <v>43</v>
      </c>
      <c r="P4" s="24"/>
      <c r="Q4" s="24"/>
      <c r="R4" s="24"/>
      <c r="S4" s="24" t="s">
        <v>49</v>
      </c>
      <c r="T4" s="24" t="s">
        <v>43</v>
      </c>
      <c r="U4" s="24"/>
      <c r="V4" s="24"/>
      <c r="W4" s="24"/>
      <c r="X4" s="24" t="s">
        <v>43</v>
      </c>
      <c r="Y4" s="24"/>
      <c r="Z4" s="24"/>
      <c r="AA4" s="24" t="s">
        <v>43</v>
      </c>
      <c r="AB4" s="24" t="s">
        <v>43</v>
      </c>
      <c r="AC4" s="24"/>
      <c r="AD4" s="24"/>
      <c r="AE4" s="24"/>
      <c r="AF4" s="24"/>
      <c r="AG4" s="24"/>
      <c r="AH4" s="24"/>
      <c r="AI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/>
      <c r="H5" s="24" t="s">
        <v>43</v>
      </c>
      <c r="I5" s="24"/>
      <c r="J5" s="24"/>
      <c r="K5" s="24"/>
      <c r="L5" s="24"/>
      <c r="M5" s="24" t="s">
        <v>43</v>
      </c>
      <c r="N5" s="24"/>
      <c r="O5" s="24" t="s">
        <v>49</v>
      </c>
      <c r="P5" s="24"/>
      <c r="Q5" s="24"/>
      <c r="R5" s="24"/>
      <c r="S5" s="24" t="s">
        <v>43</v>
      </c>
      <c r="T5" s="24"/>
      <c r="U5" s="24"/>
      <c r="V5" s="24"/>
      <c r="W5" s="24"/>
      <c r="X5" s="24"/>
      <c r="Y5" s="24"/>
      <c r="Z5" s="24"/>
      <c r="AA5" s="24"/>
      <c r="AB5" s="24" t="s">
        <v>2770</v>
      </c>
      <c r="AC5" s="24" t="s">
        <v>43</v>
      </c>
      <c r="AD5" s="24"/>
      <c r="AE5" s="24"/>
      <c r="AF5" s="24"/>
      <c r="AG5" s="24"/>
      <c r="AH5" s="24"/>
      <c r="AI5" s="24" t="s">
        <v>43</v>
      </c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 t="s">
        <v>43</v>
      </c>
      <c r="F6" s="24"/>
      <c r="G6" s="24"/>
      <c r="H6" s="24" t="s">
        <v>43</v>
      </c>
      <c r="I6" s="24"/>
      <c r="J6" s="24" t="s">
        <v>2770</v>
      </c>
      <c r="K6" s="24" t="s">
        <v>43</v>
      </c>
      <c r="L6" s="24"/>
      <c r="M6" s="24"/>
      <c r="N6" s="24" t="s">
        <v>49</v>
      </c>
      <c r="O6" s="24" t="s">
        <v>49</v>
      </c>
      <c r="P6" s="24" t="s">
        <v>43</v>
      </c>
      <c r="Q6" s="24"/>
      <c r="R6" s="24"/>
      <c r="S6" s="24" t="s">
        <v>49</v>
      </c>
      <c r="T6" s="24" t="s">
        <v>43</v>
      </c>
      <c r="U6" s="24"/>
      <c r="V6" s="24"/>
      <c r="W6" s="24" t="s">
        <v>43</v>
      </c>
      <c r="X6" s="24"/>
      <c r="Y6" s="24"/>
      <c r="Z6" s="24"/>
      <c r="AA6" s="24"/>
      <c r="AB6" s="24" t="s">
        <v>43</v>
      </c>
      <c r="AC6" s="24" t="s">
        <v>43</v>
      </c>
      <c r="AD6" s="24"/>
      <c r="AE6" s="24"/>
      <c r="AF6" s="24"/>
      <c r="AG6" s="24"/>
      <c r="AH6" s="24" t="s">
        <v>49</v>
      </c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/>
      <c r="G7" s="24"/>
      <c r="H7" s="24"/>
      <c r="I7" s="24"/>
      <c r="J7" s="24"/>
      <c r="K7" s="24" t="s">
        <v>49</v>
      </c>
      <c r="L7" s="24"/>
      <c r="M7" s="24"/>
      <c r="N7" s="24"/>
      <c r="O7" s="24" t="s">
        <v>49</v>
      </c>
      <c r="P7" s="24"/>
      <c r="Q7" s="24"/>
      <c r="R7" s="24"/>
      <c r="S7" s="24" t="s">
        <v>43</v>
      </c>
      <c r="T7" s="24" t="s">
        <v>43</v>
      </c>
      <c r="U7" s="24"/>
      <c r="V7" s="24"/>
      <c r="W7" s="24"/>
      <c r="X7" s="24"/>
      <c r="Y7" s="24" t="s">
        <v>43</v>
      </c>
      <c r="Z7" s="24"/>
      <c r="AA7" s="24"/>
      <c r="AB7" s="24" t="s">
        <v>43</v>
      </c>
      <c r="AC7" s="24" t="s">
        <v>43</v>
      </c>
      <c r="AD7" s="24"/>
      <c r="AE7" s="24" t="s">
        <v>43</v>
      </c>
      <c r="AF7" s="24"/>
      <c r="AG7" s="24" t="s">
        <v>49</v>
      </c>
      <c r="AH7" s="24"/>
      <c r="AI7" s="24" t="s">
        <v>43</v>
      </c>
    </row>
    <row r="8" customFormat="false" ht="28.3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 t="s">
        <v>43</v>
      </c>
      <c r="G8" s="24"/>
      <c r="H8" s="24"/>
      <c r="I8" s="24" t="s">
        <v>43</v>
      </c>
      <c r="J8" s="24" t="s">
        <v>43</v>
      </c>
      <c r="K8" s="24"/>
      <c r="L8" s="24" t="s">
        <v>43</v>
      </c>
      <c r="M8" s="24"/>
      <c r="N8" s="24"/>
      <c r="O8" s="24" t="s">
        <v>43</v>
      </c>
      <c r="P8" s="24" t="s">
        <v>49</v>
      </c>
      <c r="Q8" s="24"/>
      <c r="R8" s="24"/>
      <c r="S8" s="24"/>
      <c r="T8" s="24" t="s">
        <v>49</v>
      </c>
      <c r="U8" s="24" t="s">
        <v>43</v>
      </c>
      <c r="V8" s="24"/>
      <c r="W8" s="24" t="s">
        <v>43</v>
      </c>
      <c r="X8" s="24"/>
      <c r="Y8" s="24"/>
      <c r="Z8" s="24" t="s">
        <v>43</v>
      </c>
      <c r="AA8" s="24"/>
      <c r="AB8" s="68" t="s">
        <v>2767</v>
      </c>
      <c r="AC8" s="7" t="s">
        <v>43</v>
      </c>
      <c r="AD8" s="7"/>
      <c r="AE8" s="7"/>
      <c r="AF8" s="7"/>
      <c r="AG8" s="7" t="s">
        <v>43</v>
      </c>
      <c r="AH8" s="24" t="s">
        <v>43</v>
      </c>
      <c r="AI8" s="24"/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 t="s">
        <v>43</v>
      </c>
      <c r="G9" s="24" t="s">
        <v>222</v>
      </c>
      <c r="H9" s="24"/>
      <c r="I9" s="24"/>
      <c r="J9" s="24"/>
      <c r="K9" s="24" t="s">
        <v>43</v>
      </c>
      <c r="L9" s="24"/>
      <c r="M9" s="24" t="s">
        <v>43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 t="s">
        <v>43</v>
      </c>
      <c r="Y9" s="24" t="s">
        <v>43</v>
      </c>
      <c r="Z9" s="24"/>
      <c r="AA9" s="24"/>
      <c r="AB9" s="24" t="s">
        <v>43</v>
      </c>
      <c r="AC9" s="7" t="s">
        <v>2770</v>
      </c>
      <c r="AD9" s="24" t="s">
        <v>43</v>
      </c>
      <c r="AE9" s="24" t="s">
        <v>43</v>
      </c>
      <c r="AF9" s="24" t="s">
        <v>43</v>
      </c>
      <c r="AG9" s="24"/>
      <c r="AH9" s="24" t="s">
        <v>43</v>
      </c>
      <c r="AI9" s="24" t="s">
        <v>43</v>
      </c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 t="s">
        <v>49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 t="s">
        <v>2770</v>
      </c>
      <c r="AD10" s="24"/>
      <c r="AE10" s="24"/>
      <c r="AF10" s="24" t="s">
        <v>43</v>
      </c>
      <c r="AG10" s="24"/>
      <c r="AH10" s="24"/>
      <c r="AI10" s="24" t="s">
        <v>43</v>
      </c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 t="s">
        <v>43</v>
      </c>
      <c r="G11" s="24" t="s">
        <v>43</v>
      </c>
      <c r="H11" s="24"/>
      <c r="I11" s="24"/>
      <c r="J11" s="24" t="s">
        <v>43</v>
      </c>
      <c r="K11" s="24"/>
      <c r="L11" s="24"/>
      <c r="M11" s="24"/>
      <c r="N11" s="24"/>
      <c r="O11" s="24"/>
      <c r="P11" s="24"/>
      <c r="Q11" s="24"/>
      <c r="R11" s="24"/>
      <c r="S11" s="24" t="s">
        <v>43</v>
      </c>
      <c r="T11" s="24"/>
      <c r="U11" s="24"/>
      <c r="V11" s="24"/>
      <c r="W11" s="24" t="s">
        <v>2770</v>
      </c>
      <c r="X11" s="24"/>
      <c r="Y11" s="24" t="s">
        <v>43</v>
      </c>
      <c r="Z11" s="24"/>
      <c r="AA11" s="24"/>
      <c r="AB11" s="24"/>
      <c r="AC11" s="24" t="s">
        <v>43</v>
      </c>
      <c r="AD11" s="24"/>
      <c r="AE11" s="24"/>
      <c r="AF11" s="24"/>
      <c r="AG11" s="24" t="s">
        <v>43</v>
      </c>
      <c r="AH11" s="7"/>
      <c r="AI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 t="s">
        <v>49</v>
      </c>
      <c r="F12" s="24"/>
      <c r="G12" s="24"/>
      <c r="H12" s="24"/>
      <c r="I12" s="24"/>
      <c r="J12" s="24" t="s">
        <v>43</v>
      </c>
      <c r="K12" s="24"/>
      <c r="L12" s="24"/>
      <c r="M12" s="24"/>
      <c r="N12" s="24" t="s">
        <v>43</v>
      </c>
      <c r="O12" s="24"/>
      <c r="P12" s="24"/>
      <c r="Q12" s="24"/>
      <c r="R12" s="24"/>
      <c r="S12" s="24"/>
      <c r="T12" s="24"/>
      <c r="U12" s="24" t="s">
        <v>2770</v>
      </c>
      <c r="V12" s="24"/>
      <c r="W12" s="24" t="s">
        <v>43</v>
      </c>
      <c r="X12" s="24"/>
      <c r="Y12" s="24" t="s">
        <v>43</v>
      </c>
      <c r="Z12" s="24" t="s">
        <v>49</v>
      </c>
      <c r="AA12" s="24"/>
      <c r="AB12" s="24"/>
      <c r="AC12" s="24"/>
      <c r="AD12" s="24"/>
      <c r="AE12" s="7" t="s">
        <v>43</v>
      </c>
      <c r="AF12" s="7"/>
      <c r="AG12" s="7"/>
      <c r="AH12" s="24" t="s">
        <v>43</v>
      </c>
      <c r="AI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 t="s">
        <v>43</v>
      </c>
      <c r="F13" s="24" t="s">
        <v>49</v>
      </c>
      <c r="G13" s="24" t="s">
        <v>222</v>
      </c>
      <c r="H13" s="24"/>
      <c r="I13" s="24"/>
      <c r="J13" s="24"/>
      <c r="K13" s="24"/>
      <c r="L13" s="24"/>
      <c r="M13" s="24" t="s">
        <v>43</v>
      </c>
      <c r="N13" s="24"/>
      <c r="O13" s="24"/>
      <c r="P13" s="24"/>
      <c r="Q13" s="24"/>
      <c r="R13" s="24" t="s">
        <v>43</v>
      </c>
      <c r="S13" s="24"/>
      <c r="T13" s="24"/>
      <c r="U13" s="24"/>
      <c r="V13" s="24"/>
      <c r="W13" s="24"/>
      <c r="X13" s="24"/>
      <c r="Y13" s="24"/>
      <c r="Z13" s="24" t="s">
        <v>43</v>
      </c>
      <c r="AA13" s="24"/>
      <c r="AB13" s="24" t="s">
        <v>43</v>
      </c>
      <c r="AC13" s="24" t="s">
        <v>43</v>
      </c>
      <c r="AD13" s="24"/>
      <c r="AE13" s="24"/>
      <c r="AF13" s="24"/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 t="s">
        <v>43</v>
      </c>
      <c r="F14" s="24" t="s">
        <v>2770</v>
      </c>
      <c r="G14" s="24"/>
      <c r="H14" s="24"/>
      <c r="I14" s="24"/>
      <c r="J14" s="24"/>
      <c r="K14" s="24"/>
      <c r="L14" s="24" t="s">
        <v>43</v>
      </c>
      <c r="M14" s="24"/>
      <c r="N14" s="24"/>
      <c r="O14" s="24"/>
      <c r="P14" s="24"/>
      <c r="Q14" s="24" t="s">
        <v>43</v>
      </c>
      <c r="R14" s="24"/>
      <c r="S14" s="24"/>
      <c r="T14" s="24" t="s">
        <v>43</v>
      </c>
      <c r="U14" s="24"/>
      <c r="V14" s="24"/>
      <c r="W14" s="24"/>
      <c r="X14" s="24"/>
      <c r="Y14" s="24"/>
      <c r="Z14" s="24"/>
      <c r="AA14" s="24"/>
      <c r="AB14" s="24"/>
      <c r="AC14" s="24"/>
      <c r="AD14" s="24" t="s">
        <v>43</v>
      </c>
      <c r="AE14" s="24"/>
      <c r="AF14" s="24"/>
      <c r="AG14" s="24"/>
      <c r="AH14" s="24"/>
      <c r="AI14" s="24"/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 t="s">
        <v>43</v>
      </c>
      <c r="F15" s="24" t="s">
        <v>222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 t="s">
        <v>43</v>
      </c>
      <c r="S15" s="24"/>
      <c r="T15" s="24" t="s">
        <v>43</v>
      </c>
      <c r="U15" s="24"/>
      <c r="V15" s="24" t="s">
        <v>43</v>
      </c>
      <c r="W15" s="24"/>
      <c r="X15" s="24" t="s">
        <v>43</v>
      </c>
      <c r="Y15" s="24"/>
      <c r="Z15" s="24"/>
      <c r="AA15" s="24"/>
      <c r="AB15" s="24"/>
      <c r="AC15" s="24" t="s">
        <v>2770</v>
      </c>
      <c r="AD15" s="24" t="s">
        <v>49</v>
      </c>
      <c r="AE15" s="24"/>
      <c r="AF15" s="24"/>
      <c r="AG15" s="24" t="s">
        <v>43</v>
      </c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 t="s">
        <v>43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 t="s">
        <v>43</v>
      </c>
      <c r="AD16" s="24"/>
      <c r="AE16" s="24"/>
      <c r="AF16" s="24"/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/>
      <c r="H17" s="24"/>
      <c r="I17" s="24" t="s">
        <v>43</v>
      </c>
      <c r="J17" s="24"/>
      <c r="K17" s="24"/>
      <c r="L17" s="24"/>
      <c r="M17" s="24"/>
      <c r="N17" s="24"/>
      <c r="O17" s="24"/>
      <c r="P17" s="24"/>
      <c r="Q17" s="24"/>
      <c r="R17" s="24" t="s">
        <v>43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24" t="s">
        <v>43</v>
      </c>
      <c r="J18" s="24"/>
      <c r="K18" s="24"/>
      <c r="L18" s="24"/>
      <c r="M18" s="24"/>
      <c r="N18" s="24"/>
      <c r="O18" s="24"/>
      <c r="P18" s="24"/>
      <c r="Q18" s="24"/>
      <c r="R18" s="24" t="s">
        <v>49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 t="s">
        <v>49</v>
      </c>
      <c r="AF18" s="24"/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 t="s">
        <v>43</v>
      </c>
      <c r="H19" s="24"/>
      <c r="I19" s="24" t="s">
        <v>43</v>
      </c>
      <c r="J19" s="24"/>
      <c r="K19" s="24"/>
      <c r="L19" s="24"/>
      <c r="M19" s="24"/>
      <c r="N19" s="24"/>
      <c r="O19" s="24"/>
      <c r="P19" s="24"/>
      <c r="Q19" s="24"/>
      <c r="R19" s="24" t="s">
        <v>43</v>
      </c>
      <c r="S19" s="24" t="s">
        <v>49</v>
      </c>
      <c r="T19" s="24"/>
      <c r="U19" s="24" t="s">
        <v>49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 t="s">
        <v>222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 t="s">
        <v>2770</v>
      </c>
      <c r="U20" s="24"/>
      <c r="V20" s="24"/>
      <c r="W20" s="24"/>
      <c r="X20" s="24"/>
      <c r="Y20" s="24" t="s">
        <v>43</v>
      </c>
      <c r="Z20" s="24"/>
      <c r="AA20" s="24"/>
      <c r="AB20" s="24"/>
      <c r="AC20" s="24"/>
      <c r="AD20" s="24" t="s">
        <v>43</v>
      </c>
      <c r="AE20" s="24"/>
      <c r="AF20" s="24"/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 t="s">
        <v>222</v>
      </c>
      <c r="H21" s="24"/>
      <c r="I21" s="24"/>
      <c r="J21" s="24"/>
      <c r="K21" s="24"/>
      <c r="L21" s="24"/>
      <c r="M21" s="24"/>
      <c r="N21" s="24" t="s">
        <v>43</v>
      </c>
      <c r="O21" s="24"/>
      <c r="P21" s="24"/>
      <c r="Q21" s="24"/>
      <c r="R21" s="24"/>
      <c r="S21" s="24"/>
      <c r="T21" s="24"/>
      <c r="U21" s="24"/>
      <c r="V21" s="24"/>
      <c r="W21" s="24" t="s">
        <v>49</v>
      </c>
      <c r="X21" s="24"/>
      <c r="Y21" s="24" t="s">
        <v>43</v>
      </c>
      <c r="Z21" s="24"/>
      <c r="AA21" s="24"/>
      <c r="AB21" s="1" t="s">
        <v>43</v>
      </c>
      <c r="AC21" s="24"/>
      <c r="AD21" s="24"/>
      <c r="AE21" s="24" t="s">
        <v>43</v>
      </c>
      <c r="AF21" s="24" t="s">
        <v>49</v>
      </c>
      <c r="AG21" s="24"/>
      <c r="AH21" s="24" t="s">
        <v>43</v>
      </c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 t="s">
        <v>43</v>
      </c>
      <c r="F22" s="24"/>
      <c r="G22" s="24" t="s">
        <v>222</v>
      </c>
      <c r="H22" s="24"/>
      <c r="I22" s="24"/>
      <c r="J22" s="24" t="s">
        <v>43</v>
      </c>
      <c r="K22" s="24"/>
      <c r="L22" s="24"/>
      <c r="M22" s="24" t="s">
        <v>2770</v>
      </c>
      <c r="N22" s="24"/>
      <c r="O22" s="24" t="s">
        <v>2770</v>
      </c>
      <c r="P22" s="24"/>
      <c r="Q22" s="24"/>
      <c r="R22" s="24"/>
      <c r="S22" s="24"/>
      <c r="T22" s="24"/>
      <c r="U22" s="24" t="s">
        <v>43</v>
      </c>
      <c r="V22" s="24"/>
      <c r="W22" s="24"/>
      <c r="X22" s="24" t="s">
        <v>49</v>
      </c>
      <c r="Y22" s="24"/>
      <c r="Z22" s="24"/>
      <c r="AA22" s="24" t="s">
        <v>43</v>
      </c>
      <c r="AB22" s="24"/>
      <c r="AC22" s="24"/>
      <c r="AD22" s="24" t="s">
        <v>43</v>
      </c>
      <c r="AE22" s="24"/>
      <c r="AF22" s="24"/>
      <c r="AG22" s="24"/>
      <c r="AH22" s="24"/>
      <c r="AI22" s="24" t="s">
        <v>43</v>
      </c>
    </row>
    <row r="23" customFormat="false" ht="15.75" hidden="false" customHeight="true" outlineLevel="0" collapsed="false">
      <c r="A23" s="37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customFormat="false" ht="15.75" hidden="false" customHeight="true" outlineLevel="0" collapsed="false">
      <c r="A24" s="38" t="n">
        <v>21</v>
      </c>
      <c r="B24" s="24" t="s">
        <v>209</v>
      </c>
      <c r="C24" s="24" t="s">
        <v>209</v>
      </c>
      <c r="D24" s="39" t="n">
        <v>1</v>
      </c>
      <c r="E24" s="24"/>
      <c r="F24" s="24" t="s">
        <v>2770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24" t="s">
        <v>2740</v>
      </c>
      <c r="C29" s="24" t="n">
        <f aca="false">SUM(C30:C34)</f>
        <v>21</v>
      </c>
      <c r="D29" s="44" t="n">
        <f aca="false">C29*7</f>
        <v>147</v>
      </c>
      <c r="E29" s="24" t="n">
        <f aca="false">C29*31</f>
        <v>651</v>
      </c>
      <c r="G29" s="44"/>
      <c r="H29" s="47" t="n">
        <v>45505</v>
      </c>
      <c r="I29" s="44" t="s">
        <v>2778</v>
      </c>
      <c r="J29" s="44" t="s">
        <v>2779</v>
      </c>
      <c r="K29" s="44"/>
      <c r="L29" s="47" t="n">
        <v>45505</v>
      </c>
      <c r="M29" s="44" t="s">
        <v>2741</v>
      </c>
      <c r="N29" s="44" t="s">
        <v>2742</v>
      </c>
      <c r="Q29" s="36" t="s">
        <v>2740</v>
      </c>
      <c r="R29" s="24" t="n">
        <f aca="false">SUM(R30:R34)</f>
        <v>17</v>
      </c>
      <c r="S29" s="24" t="n">
        <f aca="false">R29*31</f>
        <v>527</v>
      </c>
      <c r="T29" s="24" t="n">
        <f aca="false">SUM(T30:T34)</f>
        <v>144</v>
      </c>
      <c r="U29" s="48" t="n">
        <f aca="false">T29/S29</f>
        <v>0.273244781783681</v>
      </c>
    </row>
    <row r="30" customFormat="false" ht="15.75" hidden="false" customHeight="true" outlineLevel="0" collapsed="false">
      <c r="B30" s="24" t="s">
        <v>65</v>
      </c>
      <c r="C30" s="24" t="n">
        <f aca="false">COUNTIF($B$4:$B$24,B30)</f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2</v>
      </c>
      <c r="I30" s="24" t="n">
        <f aca="false">COUNTA(J4:P9)</f>
        <v>17</v>
      </c>
      <c r="J30" s="24" t="n">
        <f aca="false">COUNTA(E4:AI9)</f>
        <v>65</v>
      </c>
      <c r="K30" s="24" t="s">
        <v>65</v>
      </c>
      <c r="L30" s="24" t="n">
        <f aca="false">COUNTBLANK(E4:E9)</f>
        <v>4</v>
      </c>
      <c r="M30" s="24" t="n">
        <f aca="false">COUNTBLANK(J4:P9)</f>
        <v>25</v>
      </c>
      <c r="N30" s="49" t="n">
        <f aca="false">COUNTBLANK(E4:AI9)</f>
        <v>121</v>
      </c>
      <c r="O30" s="50" t="n">
        <f aca="false">J30+N30</f>
        <v>186</v>
      </c>
      <c r="Q30" s="24" t="s">
        <v>65</v>
      </c>
      <c r="R30" s="24" t="n">
        <v>6</v>
      </c>
      <c r="S30" s="24" t="n">
        <f aca="false">R30*31</f>
        <v>186</v>
      </c>
      <c r="T30" s="24" t="n">
        <f aca="false">J30</f>
        <v>65</v>
      </c>
      <c r="U30" s="48" t="n">
        <f aca="false">T30/S30</f>
        <v>0.349462365591398</v>
      </c>
    </row>
    <row r="31" customFormat="false" ht="15.75" hidden="false" customHeight="true" outlineLevel="0" collapsed="false">
      <c r="B31" s="24" t="s">
        <v>60</v>
      </c>
      <c r="C31" s="24" t="n">
        <f aca="false">COUNTIF($B$4:$B$24,B31)</f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24" t="n">
        <f aca="false">COUNTA(E10:E13)</f>
        <v>2</v>
      </c>
      <c r="I31" s="24" t="n">
        <f aca="false">COUNTA(J10:P13)</f>
        <v>5</v>
      </c>
      <c r="J31" s="24" t="n">
        <f aca="false">COUNTA(E10:AI13)</f>
        <v>30</v>
      </c>
      <c r="K31" s="24" t="s">
        <v>60</v>
      </c>
      <c r="L31" s="49" t="n">
        <f aca="false">COUNTBLANK(E10:E13)</f>
        <v>2</v>
      </c>
      <c r="M31" s="24" t="n">
        <f aca="false">COUNTBLANK(J10:P13)</f>
        <v>23</v>
      </c>
      <c r="N31" s="24" t="n">
        <f aca="false">COUNTBLANK(E10:AI13)</f>
        <v>94</v>
      </c>
      <c r="O31" s="50" t="n">
        <f aca="false">J31+N31</f>
        <v>124</v>
      </c>
      <c r="Q31" s="24" t="s">
        <v>60</v>
      </c>
      <c r="R31" s="24" t="n">
        <v>4</v>
      </c>
      <c r="S31" s="24" t="n">
        <f aca="false">R31*31</f>
        <v>124</v>
      </c>
      <c r="T31" s="24" t="n">
        <f aca="false">J31</f>
        <v>30</v>
      </c>
      <c r="U31" s="48" t="n">
        <f aca="false">T31/S31</f>
        <v>0.241935483870968</v>
      </c>
    </row>
    <row r="32" customFormat="false" ht="15.75" hidden="false" customHeight="true" outlineLevel="0" collapsed="false">
      <c r="B32" s="24" t="s">
        <v>71</v>
      </c>
      <c r="C32" s="24" t="n">
        <f aca="false">COUNTIF($B$4:$B$24,B32)</f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24" t="n">
        <f aca="false">COUNTA(E14:E16)</f>
        <v>2</v>
      </c>
      <c r="I32" s="24" t="n">
        <f aca="false">COUNTA(J14:P16)</f>
        <v>1</v>
      </c>
      <c r="J32" s="24" t="n">
        <f aca="false">COUNTA(E14:AI16)</f>
        <v>17</v>
      </c>
      <c r="K32" s="24" t="s">
        <v>71</v>
      </c>
      <c r="L32" s="49" t="n">
        <f aca="false">COUNTBLANK(E14:E16)</f>
        <v>1</v>
      </c>
      <c r="M32" s="24" t="n">
        <f aca="false">COUNTBLANK(J14:P15)</f>
        <v>13</v>
      </c>
      <c r="N32" s="24" t="n">
        <f aca="false">COUNTBLANK(E14:AI15)</f>
        <v>47</v>
      </c>
      <c r="O32" s="50" t="n">
        <f aca="false">J32+N32</f>
        <v>64</v>
      </c>
      <c r="Q32" s="24" t="s">
        <v>71</v>
      </c>
      <c r="R32" s="24" t="n">
        <v>2</v>
      </c>
      <c r="S32" s="24" t="n">
        <f aca="false">R32*31</f>
        <v>62</v>
      </c>
      <c r="T32" s="24" t="n">
        <f aca="false">J32</f>
        <v>17</v>
      </c>
      <c r="U32" s="48" t="n">
        <f aca="false">T32/S32</f>
        <v>0.274193548387097</v>
      </c>
    </row>
    <row r="33" customFormat="false" ht="15.75" hidden="false" customHeight="true" outlineLevel="0" collapsed="false">
      <c r="B33" s="24" t="s">
        <v>31</v>
      </c>
      <c r="C33" s="24" t="n">
        <f aca="false">COUNTIF($B$4:$B$24,B33)</f>
        <v>7</v>
      </c>
      <c r="D33" s="44" t="n">
        <f aca="false">C33*7</f>
        <v>49</v>
      </c>
      <c r="E33" s="24" t="n">
        <f aca="false">C33*31</f>
        <v>217</v>
      </c>
      <c r="G33" s="24" t="s">
        <v>2743</v>
      </c>
      <c r="H33" s="24" t="n">
        <f aca="false">COUNTA(E17:E23)</f>
        <v>1</v>
      </c>
      <c r="I33" s="24" t="n">
        <f aca="false">COUNTA(J17:P23)</f>
        <v>4</v>
      </c>
      <c r="J33" s="24" t="n">
        <f aca="false">COUNTA(E17:AI23)</f>
        <v>32</v>
      </c>
      <c r="K33" s="24" t="s">
        <v>2743</v>
      </c>
      <c r="L33" s="49" t="n">
        <f aca="false">COUNTBLANK(E17:E23)</f>
        <v>6</v>
      </c>
      <c r="M33" s="24" t="n">
        <f aca="false">COUNTBLANK(J19:P22)</f>
        <v>24</v>
      </c>
      <c r="N33" s="24" t="n">
        <f aca="false">COUNTBLANK(E19:AI22)</f>
        <v>97</v>
      </c>
      <c r="O33" s="50" t="n">
        <f aca="false">J33+N33</f>
        <v>129</v>
      </c>
      <c r="Q33" s="51" t="s">
        <v>2743</v>
      </c>
      <c r="R33" s="51" t="n">
        <v>4</v>
      </c>
      <c r="S33" s="24" t="n">
        <f aca="false">R33*31</f>
        <v>124</v>
      </c>
      <c r="T33" s="24" t="n">
        <f aca="false">J33</f>
        <v>32</v>
      </c>
      <c r="U33" s="48" t="n">
        <f aca="false">T33/S33</f>
        <v>0.258064516129032</v>
      </c>
    </row>
    <row r="34" customFormat="false" ht="15.75" hidden="false" customHeight="true" outlineLevel="0" collapsed="false">
      <c r="B34" s="24" t="s">
        <v>209</v>
      </c>
      <c r="C34" s="24" t="n">
        <f aca="false">COUNTIF($B$4:$B$24,B34)</f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f aca="false">COUNTA(E24)</f>
        <v>0</v>
      </c>
      <c r="I34" s="24" t="n">
        <f aca="false">COUNTA(J24)</f>
        <v>0</v>
      </c>
      <c r="J34" s="24" t="n">
        <f aca="false">COUNTA(E24)</f>
        <v>0</v>
      </c>
      <c r="K34" s="24" t="s">
        <v>2744</v>
      </c>
      <c r="L34" s="24" t="n">
        <f aca="false">COUNTBLANK(E24)</f>
        <v>1</v>
      </c>
      <c r="M34" s="24" t="n">
        <f aca="false">COUNTBLANK(J24:P24)</f>
        <v>7</v>
      </c>
      <c r="N34" s="24" t="n">
        <f aca="false">COUNTBLANK(E24:AI24)</f>
        <v>30</v>
      </c>
      <c r="O34" s="50" t="n">
        <f aca="false">J34+N34</f>
        <v>30</v>
      </c>
      <c r="Q34" s="24" t="s">
        <v>2744</v>
      </c>
      <c r="R34" s="24" t="n">
        <v>1</v>
      </c>
      <c r="S34" s="24" t="n">
        <f aca="false">R34*31</f>
        <v>31</v>
      </c>
      <c r="T34" s="24" t="n">
        <f aca="false">J34</f>
        <v>0</v>
      </c>
      <c r="U34" s="48" t="n">
        <f aca="false">T34/S34</f>
        <v>0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  <c r="M37" s="53" t="s">
        <v>2746</v>
      </c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5" t="s">
        <v>2737</v>
      </c>
      <c r="N38" s="54" t="s">
        <v>2749</v>
      </c>
      <c r="O38" s="54" t="s">
        <v>2750</v>
      </c>
      <c r="P38" s="54" t="s">
        <v>2751</v>
      </c>
      <c r="Q38" s="54" t="s">
        <v>2752</v>
      </c>
      <c r="R38" s="54" t="s">
        <v>2753</v>
      </c>
      <c r="S38" s="54" t="s">
        <v>2754</v>
      </c>
      <c r="T38" s="54" t="s">
        <v>2755</v>
      </c>
      <c r="U38" s="54" t="s">
        <v>36</v>
      </c>
      <c r="V38" s="54" t="s">
        <v>2756</v>
      </c>
      <c r="W38" s="54" t="s">
        <v>2757</v>
      </c>
      <c r="X38" s="54" t="s">
        <v>2758</v>
      </c>
      <c r="Y38" s="43" t="s">
        <v>2759</v>
      </c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SUMPRODUCT(LEN($E$4:$AI$24)-LEN(SUBSTITUTE($E$4:$AI$24,B39,"")))/LEN(B39)</f>
        <v>0</v>
      </c>
      <c r="M39" s="56" t="s">
        <v>65</v>
      </c>
      <c r="N39" s="43" t="n">
        <f aca="false">E30</f>
        <v>186</v>
      </c>
      <c r="O39" s="24" t="n">
        <f aca="false">COUNTIF($E$4:$AI$9,O44)</f>
        <v>0</v>
      </c>
      <c r="P39" s="24" t="n">
        <f aca="false">COUNTIF($E$4:$AI$9,P44)</f>
        <v>0</v>
      </c>
      <c r="Q39" s="24" t="n">
        <f aca="false">COUNTIF($E$4:$AI$9,Q44)</f>
        <v>0</v>
      </c>
      <c r="R39" s="24" t="n">
        <f aca="false">COUNTIF($E$4:$AI$9,R44)</f>
        <v>49</v>
      </c>
      <c r="S39" s="24" t="n">
        <f aca="false">COUNTIF($E$4:$AI$9,S44)</f>
        <v>0</v>
      </c>
      <c r="T39" s="24" t="n">
        <f aca="false">COUNTIF($E$4:$AI$9,T44)</f>
        <v>0</v>
      </c>
      <c r="U39" s="24" t="n">
        <f aca="false">COUNTIF($E$4:$AI$9,U44)</f>
        <v>0</v>
      </c>
      <c r="V39" s="24" t="n">
        <f aca="false">COUNTIF($E$4:$AI$9,V44)</f>
        <v>0</v>
      </c>
      <c r="W39" s="24" t="n">
        <f aca="false">COUNTIF($E$4:$AI$9,W44)</f>
        <v>0</v>
      </c>
      <c r="X39" s="24" t="n">
        <f aca="false">COUNTIF($E$4:$AI$9,X44)</f>
        <v>0</v>
      </c>
      <c r="Y39" s="24" t="n">
        <f aca="false">COUNTIF($E$4:$AI$9,Y44)</f>
        <v>0</v>
      </c>
      <c r="Z39" s="50" t="n">
        <f aca="false">SUM(O39:Y39)</f>
        <v>49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SUMPRODUCT(LEN($E$4:$AI$24)-LEN(SUBSTITUTE($E$4:$AI$24,B40,"")))/LEN(B40)</f>
        <v>0</v>
      </c>
      <c r="M40" s="56" t="s">
        <v>60</v>
      </c>
      <c r="N40" s="43" t="n">
        <f aca="false">E31</f>
        <v>124</v>
      </c>
      <c r="O40" s="24" t="n">
        <f aca="false">COUNTIF($E$10:$AI$13,O44)</f>
        <v>0</v>
      </c>
      <c r="P40" s="24" t="n">
        <f aca="false">COUNTIF($E$10:$AI$13,P44)</f>
        <v>0</v>
      </c>
      <c r="Q40" s="24" t="n">
        <f aca="false">COUNTIF($E$10:$AI$13,Q44)</f>
        <v>0</v>
      </c>
      <c r="R40" s="24" t="n">
        <f aca="false">COUNTIF($E$10:$AI$13,R44)</f>
        <v>22</v>
      </c>
      <c r="S40" s="24" t="n">
        <f aca="false">COUNTIF($E$10:$AI$13,S44)</f>
        <v>0</v>
      </c>
      <c r="T40" s="24" t="n">
        <f aca="false">COUNTIF($E$10:$AI$13,T44)</f>
        <v>0</v>
      </c>
      <c r="U40" s="24" t="n">
        <f aca="false">COUNTIF($E$10:$AI$13,U44)</f>
        <v>0</v>
      </c>
      <c r="V40" s="24" t="n">
        <f aca="false">COUNTIF($E$10:$AI$13,V44)</f>
        <v>0</v>
      </c>
      <c r="W40" s="24" t="n">
        <f aca="false">COUNTIF($E$10:$AI$13,W44)</f>
        <v>0</v>
      </c>
      <c r="X40" s="24" t="n">
        <f aca="false">COUNTIF($E$10:$AI$13,X44)</f>
        <v>0</v>
      </c>
      <c r="Y40" s="24" t="n">
        <f aca="false">COUNTIF($E$10:$AI$13,Y44)</f>
        <v>0</v>
      </c>
      <c r="Z40" s="50" t="n">
        <f aca="false">SUM(O40:Y40)</f>
        <v>22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SUMPRODUCT(LEN($E$4:$AI$24)-LEN(SUBSTITUTE($E$4:$AI$24,B41,"")))/LEN(B41)</f>
        <v>0</v>
      </c>
      <c r="M41" s="56" t="s">
        <v>71</v>
      </c>
      <c r="N41" s="43" t="n">
        <f aca="false">E32</f>
        <v>93</v>
      </c>
      <c r="O41" s="24" t="n">
        <f aca="false">COUNTIF($E$14:$AH$15,O44)</f>
        <v>0</v>
      </c>
      <c r="P41" s="24" t="n">
        <f aca="false">COUNTIF($E$14:$AH$15,P44)</f>
        <v>0</v>
      </c>
      <c r="Q41" s="24" t="n">
        <f aca="false">COUNTIF($E$14:$AH$15,Q44)</f>
        <v>0</v>
      </c>
      <c r="R41" s="24" t="n">
        <f aca="false">COUNTIF($E$14:$AH$15,R44)</f>
        <v>11</v>
      </c>
      <c r="S41" s="24" t="n">
        <f aca="false">COUNTIF($E$14:$AH$15,S44)</f>
        <v>0</v>
      </c>
      <c r="T41" s="24" t="n">
        <f aca="false">COUNTIF($E$14:$AH$15,T44)</f>
        <v>0</v>
      </c>
      <c r="U41" s="24" t="n">
        <f aca="false">COUNTIF($E$14:$AH$15,U44)</f>
        <v>0</v>
      </c>
      <c r="V41" s="24" t="n">
        <f aca="false">COUNTIF($E$14:$AH$15,V44)</f>
        <v>0</v>
      </c>
      <c r="W41" s="24" t="n">
        <f aca="false">COUNTIF($E$14:$AH$15,W44)</f>
        <v>0</v>
      </c>
      <c r="X41" s="24" t="n">
        <f aca="false">COUNTIF($E$14:$AH$15,X44)</f>
        <v>0</v>
      </c>
      <c r="Y41" s="24" t="n">
        <f aca="false">COUNTIF($E$14:$AH$15,Y44)</f>
        <v>0</v>
      </c>
      <c r="Z41" s="50" t="n">
        <f aca="false">SUM(O41:Y41)</f>
        <v>11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SUMPRODUCT(LEN($E$4:$AI$24)-LEN(SUBSTITUTE($E$4:$AI$24,B42,"")))/LEN(B42)</f>
        <v>105</v>
      </c>
      <c r="M42" s="57" t="s">
        <v>2743</v>
      </c>
      <c r="N42" s="43" t="n">
        <f aca="false">E33</f>
        <v>217</v>
      </c>
      <c r="O42" s="24" t="n">
        <f aca="false">COUNTIF($E$19:$AI$22,O44)</f>
        <v>0</v>
      </c>
      <c r="P42" s="24" t="n">
        <f aca="false">COUNTIF($E$19:$AI$22,P44)</f>
        <v>0</v>
      </c>
      <c r="Q42" s="24" t="n">
        <f aca="false">COUNTIF($E$19:$AI$22,Q44)</f>
        <v>0</v>
      </c>
      <c r="R42" s="24" t="n">
        <f aca="false">COUNTIF($E$19:$AI$22,R44)</f>
        <v>16</v>
      </c>
      <c r="S42" s="24" t="n">
        <f aca="false">COUNTIF($E$19:$AI$22,S44)</f>
        <v>0</v>
      </c>
      <c r="T42" s="24" t="n">
        <f aca="false">COUNTIF($E$19:$AI$22,T44)</f>
        <v>0</v>
      </c>
      <c r="U42" s="24" t="n">
        <f aca="false">COUNTIF($E$19:$AI$22,U44)</f>
        <v>0</v>
      </c>
      <c r="V42" s="24" t="n">
        <f aca="false">COUNTIF($E$19:$AI$22,V44)</f>
        <v>0</v>
      </c>
      <c r="W42" s="24" t="n">
        <f aca="false">COUNTIF($E$19:$AI$22,W44)</f>
        <v>0</v>
      </c>
      <c r="X42" s="24" t="n">
        <f aca="false">COUNTIF($E$19:$AI$22,X44)</f>
        <v>0</v>
      </c>
      <c r="Y42" s="24" t="n">
        <f aca="false">COUNTIF($E$19:$AI$22,Y44)</f>
        <v>0</v>
      </c>
      <c r="Z42" s="50" t="n">
        <f aca="false">SUM(O42:Y42)</f>
        <v>16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SUMPRODUCT(LEN($E$4:$AI$24)-LEN(SUBSTITUTE($E$4:$AI$24,B43,"")))/LEN(B43)</f>
        <v>0</v>
      </c>
      <c r="M43" s="56" t="s">
        <v>2744</v>
      </c>
      <c r="N43" s="43" t="n">
        <f aca="false">E34</f>
        <v>31</v>
      </c>
      <c r="O43" s="24" t="n">
        <f aca="false">COUNTIF($E$24:$AI$24,O44)</f>
        <v>0</v>
      </c>
      <c r="P43" s="24" t="n">
        <f aca="false">COUNTIF($E$24:$AI$24,P44)</f>
        <v>0</v>
      </c>
      <c r="Q43" s="24" t="n">
        <f aca="false">COUNTIF($E$24:$AI$24,Q44)</f>
        <v>0</v>
      </c>
      <c r="R43" s="24" t="n">
        <f aca="false">COUNTIF($E$24:$AI$24,R44)</f>
        <v>0</v>
      </c>
      <c r="S43" s="24" t="n">
        <f aca="false">COUNTIF($E$24:$AI$24,S44)</f>
        <v>0</v>
      </c>
      <c r="T43" s="24" t="n">
        <f aca="false">COUNTIF($E$24:$AI$24,T44)</f>
        <v>0</v>
      </c>
      <c r="U43" s="24" t="n">
        <f aca="false">COUNTIF($E$24:$AI$24,U44)</f>
        <v>0</v>
      </c>
      <c r="V43" s="24" t="n">
        <f aca="false">COUNTIF($E$24:$AI$24,V44)</f>
        <v>0</v>
      </c>
      <c r="W43" s="24" t="n">
        <f aca="false">COUNTIF($E$24:$AI$24,W44)</f>
        <v>0</v>
      </c>
      <c r="X43" s="24" t="n">
        <f aca="false">COUNTIF($E$24:$AI$24,X44)</f>
        <v>0</v>
      </c>
      <c r="Y43" s="24" t="n">
        <f aca="false">COUNTIF($E$24:$AI$24,Y44)</f>
        <v>0</v>
      </c>
      <c r="Z43" s="50" t="n">
        <f aca="false">SUM(O43:Y43)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SUMPRODUCT(LEN($E$4:$AI$24)-LEN(SUBSTITUTE($E$4:$AI$24,B44,"")))/LEN(B44)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  <c r="Z44" s="50" t="n">
        <f aca="false">SUM(Z39:Z43)</f>
        <v>98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SUMPRODUCT(LEN($E$4:$AI$24)-LEN(SUBSTITUTE($E$4:$AI$24,B45,"")))/LEN(B45)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SUMPRODUCT(LEN($E$4:$AI$24)-LEN(SUBSTITUTE($E$4:$AI$24,B46,"")))/LEN(B46)</f>
        <v>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SUMPRODUCT(LEN($E$4:$AI$24)-LEN(SUBSTITUTE($E$4:$AI$24,B47,"")))/LEN(B47)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SUMPRODUCT(LEN($E$4:$AI$24)-LEN(SUBSTITUTE($E$4:$AI$24,B48,"")))/LEN(B48)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SUMPRODUCT(LEN($E$4:$AI$24)-LEN(SUBSTITUTE($E$4:$AI$24,B49,"")))/LEN(B49)</f>
        <v>0</v>
      </c>
    </row>
    <row r="50" customFormat="false" ht="15.75" hidden="false" customHeight="true" outlineLevel="0" collapsed="false">
      <c r="B50" s="24" t="s">
        <v>2770</v>
      </c>
      <c r="C50" s="24" t="s">
        <v>2770</v>
      </c>
      <c r="D50" s="18"/>
      <c r="G50" s="24" t="s">
        <v>2770</v>
      </c>
      <c r="H50" s="24"/>
      <c r="I50" s="24"/>
      <c r="J50" s="24" t="n">
        <f aca="false">SUMPRODUCT(LEN($E$4:$AI$24)-LEN(SUBSTITUTE($E$4:$AI$24,B50,"")))/LEN(B50)</f>
        <v>12</v>
      </c>
    </row>
    <row r="51" customFormat="false" ht="15.75" hidden="false" customHeight="true" outlineLevel="0" collapsed="false">
      <c r="B51" s="24" t="s">
        <v>49</v>
      </c>
      <c r="C51" s="24" t="s">
        <v>2773</v>
      </c>
      <c r="D51" s="18"/>
      <c r="G51" s="24" t="s">
        <v>2773</v>
      </c>
      <c r="H51" s="24"/>
      <c r="I51" s="24"/>
      <c r="J51" s="24" t="n">
        <f aca="false">SUMPRODUCT(LEN($E$4:$AI$24)-LEN(SUBSTITUTE($E$4:$AI$24,B51,"")))/LEN(B51)</f>
        <v>23</v>
      </c>
    </row>
    <row r="52" customFormat="false" ht="15.75" hidden="false" customHeight="true" outlineLevel="0" collapsed="false">
      <c r="B52" s="24" t="s">
        <v>113</v>
      </c>
      <c r="C52" s="24" t="s">
        <v>113</v>
      </c>
      <c r="D52" s="18"/>
      <c r="G52" s="24" t="s">
        <v>113</v>
      </c>
      <c r="H52" s="24"/>
      <c r="I52" s="24"/>
      <c r="J52" s="24" t="n">
        <f aca="false">SUMPRODUCT(LEN($E$4:$AI$24)-LEN(SUBSTITUTE($E$4:$AI$24,B52,"")))/LEN(B52)</f>
        <v>0</v>
      </c>
    </row>
    <row r="53" customFormat="false" ht="15.75" hidden="false" customHeight="true" outlineLevel="0" collapsed="false">
      <c r="B53" s="24" t="s">
        <v>222</v>
      </c>
      <c r="C53" s="24" t="s">
        <v>222</v>
      </c>
      <c r="D53" s="18"/>
      <c r="G53" s="24" t="s">
        <v>222</v>
      </c>
      <c r="H53" s="24"/>
      <c r="I53" s="24"/>
      <c r="J53" s="24" t="n">
        <f aca="false">SUMPRODUCT(LEN($E$4:$AI$24)-LEN(SUBSTITUTE($E$4:$AI$24,B53,"")))/LEN(B53)</f>
        <v>6</v>
      </c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7:Y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4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2780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2720</v>
      </c>
      <c r="F2" s="15" t="s">
        <v>2721</v>
      </c>
      <c r="G2" s="15" t="s">
        <v>2722</v>
      </c>
      <c r="H2" s="16" t="s">
        <v>2716</v>
      </c>
      <c r="I2" s="16" t="s">
        <v>2717</v>
      </c>
      <c r="J2" s="15" t="s">
        <v>2718</v>
      </c>
      <c r="K2" s="15" t="s">
        <v>2719</v>
      </c>
      <c r="L2" s="15" t="s">
        <v>2720</v>
      </c>
      <c r="M2" s="15" t="s">
        <v>2721</v>
      </c>
      <c r="N2" s="15" t="s">
        <v>2722</v>
      </c>
      <c r="O2" s="16" t="s">
        <v>2716</v>
      </c>
      <c r="P2" s="16" t="s">
        <v>2717</v>
      </c>
      <c r="Q2" s="15" t="s">
        <v>2718</v>
      </c>
      <c r="R2" s="15" t="s">
        <v>2719</v>
      </c>
      <c r="S2" s="15" t="s">
        <v>2720</v>
      </c>
      <c r="T2" s="15" t="s">
        <v>2721</v>
      </c>
      <c r="U2" s="15" t="s">
        <v>2722</v>
      </c>
      <c r="V2" s="16" t="s">
        <v>2716</v>
      </c>
      <c r="W2" s="16" t="s">
        <v>2717</v>
      </c>
      <c r="X2" s="15" t="s">
        <v>2718</v>
      </c>
      <c r="Y2" s="15" t="s">
        <v>2719</v>
      </c>
      <c r="Z2" s="15" t="s">
        <v>2720</v>
      </c>
      <c r="AA2" s="15" t="s">
        <v>2721</v>
      </c>
      <c r="AB2" s="15" t="s">
        <v>2722</v>
      </c>
      <c r="AC2" s="16" t="s">
        <v>2716</v>
      </c>
      <c r="AD2" s="16" t="s">
        <v>2717</v>
      </c>
      <c r="AE2" s="15" t="s">
        <v>2718</v>
      </c>
      <c r="AF2" s="15" t="s">
        <v>2719</v>
      </c>
      <c r="AG2" s="15" t="s">
        <v>2720</v>
      </c>
      <c r="AH2" s="15" t="s">
        <v>2721</v>
      </c>
      <c r="AI2" s="15"/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45536</v>
      </c>
      <c r="F3" s="19" t="n">
        <v>45537</v>
      </c>
      <c r="G3" s="19" t="n">
        <v>45538</v>
      </c>
      <c r="H3" s="19" t="n">
        <v>45539</v>
      </c>
      <c r="I3" s="19" t="n">
        <v>45540</v>
      </c>
      <c r="J3" s="19" t="n">
        <v>45541</v>
      </c>
      <c r="K3" s="19" t="n">
        <v>45542</v>
      </c>
      <c r="L3" s="19" t="n">
        <v>45543</v>
      </c>
      <c r="M3" s="19" t="n">
        <v>45544</v>
      </c>
      <c r="N3" s="19" t="n">
        <v>45545</v>
      </c>
      <c r="O3" s="19" t="n">
        <v>45546</v>
      </c>
      <c r="P3" s="19" t="n">
        <v>45547</v>
      </c>
      <c r="Q3" s="19" t="n">
        <v>45548</v>
      </c>
      <c r="R3" s="19" t="n">
        <v>45549</v>
      </c>
      <c r="S3" s="19" t="n">
        <v>45550</v>
      </c>
      <c r="T3" s="19" t="n">
        <v>45551</v>
      </c>
      <c r="U3" s="19" t="n">
        <v>45552</v>
      </c>
      <c r="V3" s="19" t="n">
        <v>45553</v>
      </c>
      <c r="W3" s="19" t="n">
        <v>45554</v>
      </c>
      <c r="X3" s="19" t="n">
        <v>45555</v>
      </c>
      <c r="Y3" s="19" t="n">
        <v>45556</v>
      </c>
      <c r="Z3" s="19" t="n">
        <v>45557</v>
      </c>
      <c r="AA3" s="19" t="n">
        <v>45558</v>
      </c>
      <c r="AB3" s="19" t="n">
        <v>45559</v>
      </c>
      <c r="AC3" s="19" t="n">
        <v>45560</v>
      </c>
      <c r="AD3" s="19" t="n">
        <v>45561</v>
      </c>
      <c r="AE3" s="19" t="n">
        <v>45562</v>
      </c>
      <c r="AF3" s="19" t="n">
        <v>45563</v>
      </c>
      <c r="AG3" s="19" t="n">
        <v>45564</v>
      </c>
      <c r="AH3" s="19" t="n">
        <v>45565</v>
      </c>
      <c r="AI3" s="19"/>
    </row>
    <row r="4" customFormat="false" ht="28.3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68" t="s">
        <v>2767</v>
      </c>
      <c r="P4" s="24"/>
      <c r="Q4" s="24"/>
      <c r="R4" s="24"/>
      <c r="S4" s="24"/>
      <c r="T4" s="24"/>
      <c r="U4" s="24"/>
      <c r="V4" s="24"/>
      <c r="W4" s="24"/>
      <c r="X4" s="24" t="s">
        <v>49</v>
      </c>
      <c r="Y4" s="24"/>
      <c r="Z4" s="24"/>
      <c r="AA4" s="24"/>
      <c r="AB4" s="24" t="s">
        <v>2770</v>
      </c>
      <c r="AC4" s="24" t="s">
        <v>43</v>
      </c>
      <c r="AD4" s="24" t="s">
        <v>43</v>
      </c>
      <c r="AE4" s="24" t="s">
        <v>49</v>
      </c>
      <c r="AF4" s="24"/>
      <c r="AG4" s="24"/>
      <c r="AH4" s="24"/>
      <c r="AI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/>
      <c r="H5" s="24"/>
      <c r="I5" s="24" t="s">
        <v>43</v>
      </c>
      <c r="J5" s="24" t="s">
        <v>43</v>
      </c>
      <c r="K5" s="24"/>
      <c r="L5" s="24" t="s">
        <v>222</v>
      </c>
      <c r="M5" s="24" t="s">
        <v>43</v>
      </c>
      <c r="N5" s="24"/>
      <c r="O5" s="24"/>
      <c r="P5" s="24"/>
      <c r="Q5" s="24" t="s">
        <v>43</v>
      </c>
      <c r="R5" s="24" t="s">
        <v>49</v>
      </c>
      <c r="S5" s="24" t="s">
        <v>43</v>
      </c>
      <c r="T5" s="24"/>
      <c r="U5" s="24" t="s">
        <v>49</v>
      </c>
      <c r="V5" s="24" t="s">
        <v>43</v>
      </c>
      <c r="W5" s="24"/>
      <c r="X5" s="24" t="s">
        <v>49</v>
      </c>
      <c r="Y5" s="24"/>
      <c r="Z5" s="24"/>
      <c r="AA5" s="24"/>
      <c r="AB5" s="24" t="s">
        <v>2770</v>
      </c>
      <c r="AC5" s="24" t="s">
        <v>43</v>
      </c>
      <c r="AD5" s="24" t="s">
        <v>49</v>
      </c>
      <c r="AE5" s="24" t="s">
        <v>49</v>
      </c>
      <c r="AF5" s="24"/>
      <c r="AG5" s="24"/>
      <c r="AH5" s="24"/>
      <c r="AI5" s="24"/>
    </row>
    <row r="6" customFormat="false" ht="55.2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/>
      <c r="G6" s="24" t="s">
        <v>43</v>
      </c>
      <c r="H6" s="24"/>
      <c r="I6" s="24" t="s">
        <v>43</v>
      </c>
      <c r="J6" s="24"/>
      <c r="K6" s="24"/>
      <c r="L6" s="24"/>
      <c r="M6" s="24"/>
      <c r="N6" s="24"/>
      <c r="O6" s="24" t="s">
        <v>43</v>
      </c>
      <c r="P6" s="24" t="s">
        <v>43</v>
      </c>
      <c r="Q6" s="24"/>
      <c r="R6" s="24" t="s">
        <v>43</v>
      </c>
      <c r="S6" s="24" t="s">
        <v>49</v>
      </c>
      <c r="T6" s="24"/>
      <c r="U6" s="68" t="s">
        <v>2767</v>
      </c>
      <c r="V6" s="24" t="s">
        <v>49</v>
      </c>
      <c r="W6" s="24"/>
      <c r="X6" s="24" t="s">
        <v>49</v>
      </c>
      <c r="Y6" s="24"/>
      <c r="Z6" s="24"/>
      <c r="AA6" s="24"/>
      <c r="AB6" s="24"/>
      <c r="AC6" s="24"/>
      <c r="AD6" s="24" t="s">
        <v>49</v>
      </c>
      <c r="AE6" s="24"/>
      <c r="AF6" s="24"/>
      <c r="AG6" s="24"/>
      <c r="AH6" s="24"/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/>
      <c r="F7" s="24"/>
      <c r="G7" s="24"/>
      <c r="H7" s="24"/>
      <c r="I7" s="24"/>
      <c r="J7" s="24" t="s">
        <v>43</v>
      </c>
      <c r="K7" s="24"/>
      <c r="L7" s="24"/>
      <c r="M7" s="24" t="s">
        <v>43</v>
      </c>
      <c r="N7" s="24"/>
      <c r="O7" s="24"/>
      <c r="P7" s="24" t="s">
        <v>43</v>
      </c>
      <c r="Q7" s="24"/>
      <c r="R7" s="24"/>
      <c r="S7" s="24"/>
      <c r="T7" s="24"/>
      <c r="U7" s="24"/>
      <c r="V7" s="24" t="s">
        <v>49</v>
      </c>
      <c r="W7" s="24"/>
      <c r="X7" s="24"/>
      <c r="Y7" s="24" t="s">
        <v>49</v>
      </c>
      <c r="Z7" s="24" t="s">
        <v>43</v>
      </c>
      <c r="AA7" s="24"/>
      <c r="AB7" s="24" t="s">
        <v>49</v>
      </c>
      <c r="AC7" s="24" t="s">
        <v>43</v>
      </c>
      <c r="AD7" s="24"/>
      <c r="AE7" s="24" t="s">
        <v>49</v>
      </c>
      <c r="AF7" s="24" t="s">
        <v>49</v>
      </c>
      <c r="AG7" s="24"/>
      <c r="AH7" s="24"/>
      <c r="AI7" s="24"/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 t="s">
        <v>43</v>
      </c>
      <c r="G8" s="24"/>
      <c r="H8" s="24" t="s">
        <v>43</v>
      </c>
      <c r="I8" s="24"/>
      <c r="J8" s="24" t="s">
        <v>222</v>
      </c>
      <c r="K8" s="24" t="s">
        <v>43</v>
      </c>
      <c r="L8" s="24"/>
      <c r="M8" s="24"/>
      <c r="N8" s="24" t="s">
        <v>49</v>
      </c>
      <c r="O8" s="24"/>
      <c r="P8" s="24"/>
      <c r="Q8" s="24" t="s">
        <v>43</v>
      </c>
      <c r="R8" s="24" t="s">
        <v>43</v>
      </c>
      <c r="S8" s="24"/>
      <c r="T8" s="24"/>
      <c r="U8" s="24"/>
      <c r="V8" s="24" t="s">
        <v>43</v>
      </c>
      <c r="W8" s="24" t="s">
        <v>43</v>
      </c>
      <c r="X8" s="24"/>
      <c r="Y8" s="24" t="s">
        <v>43</v>
      </c>
      <c r="Z8" s="24"/>
      <c r="AA8" s="24"/>
      <c r="AB8" s="24"/>
      <c r="AC8" s="7" t="s">
        <v>43</v>
      </c>
      <c r="AD8" s="7"/>
      <c r="AE8" s="7" t="s">
        <v>43</v>
      </c>
      <c r="AF8" s="7"/>
      <c r="AG8" s="7" t="s">
        <v>43</v>
      </c>
      <c r="AH8" s="24"/>
      <c r="AI8" s="24"/>
    </row>
    <row r="9" customFormat="false" ht="28.3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 t="s">
        <v>43</v>
      </c>
      <c r="F9" s="24" t="s">
        <v>43</v>
      </c>
      <c r="G9" s="24" t="s">
        <v>43</v>
      </c>
      <c r="H9" s="24"/>
      <c r="I9" s="24"/>
      <c r="J9" s="24"/>
      <c r="K9" s="24" t="s">
        <v>2770</v>
      </c>
      <c r="L9" s="24"/>
      <c r="M9" s="24"/>
      <c r="N9" s="24" t="s">
        <v>49</v>
      </c>
      <c r="O9" s="24"/>
      <c r="P9" s="24"/>
      <c r="Q9" s="24"/>
      <c r="R9" s="24" t="s">
        <v>43</v>
      </c>
      <c r="S9" s="24"/>
      <c r="T9" s="24"/>
      <c r="U9" s="24"/>
      <c r="V9" s="24"/>
      <c r="W9" s="24"/>
      <c r="X9" s="24"/>
      <c r="Y9" s="24"/>
      <c r="Z9" s="24"/>
      <c r="AA9" s="24" t="s">
        <v>49</v>
      </c>
      <c r="AB9" s="24"/>
      <c r="AC9" s="7"/>
      <c r="AD9" s="24"/>
      <c r="AE9" s="68" t="s">
        <v>2781</v>
      </c>
      <c r="AF9" s="24" t="s">
        <v>43</v>
      </c>
      <c r="AG9" s="24"/>
      <c r="AH9" s="24"/>
      <c r="AI9" s="24"/>
    </row>
    <row r="10" customFormat="false" ht="28.3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/>
      <c r="G10" s="24"/>
      <c r="H10" s="24"/>
      <c r="I10" s="24"/>
      <c r="J10" s="24"/>
      <c r="K10" s="68" t="s">
        <v>2782</v>
      </c>
      <c r="L10" s="24" t="s">
        <v>43</v>
      </c>
      <c r="M10" s="24"/>
      <c r="N10" s="24"/>
      <c r="O10" s="24"/>
      <c r="P10" s="24" t="s">
        <v>49</v>
      </c>
      <c r="Q10" s="24"/>
      <c r="R10" s="24" t="s">
        <v>43</v>
      </c>
      <c r="S10" s="24"/>
      <c r="T10" s="24"/>
      <c r="U10" s="24"/>
      <c r="V10" s="24"/>
      <c r="W10" s="24" t="s">
        <v>43</v>
      </c>
      <c r="X10" s="24"/>
      <c r="Y10" s="24" t="s">
        <v>43</v>
      </c>
      <c r="Z10" s="24"/>
      <c r="AA10" s="24"/>
      <c r="AB10" s="24"/>
      <c r="AC10" s="24"/>
      <c r="AD10" s="24"/>
      <c r="AE10" s="24" t="s">
        <v>43</v>
      </c>
      <c r="AF10" s="24"/>
      <c r="AG10" s="24"/>
      <c r="AH10" s="24"/>
      <c r="AI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/>
      <c r="H11" s="24"/>
      <c r="I11" s="24"/>
      <c r="J11" s="24"/>
      <c r="K11" s="24"/>
      <c r="L11" s="24" t="s">
        <v>43</v>
      </c>
      <c r="M11" s="24" t="s">
        <v>43</v>
      </c>
      <c r="N11" s="24"/>
      <c r="O11" s="24"/>
      <c r="P11" s="24"/>
      <c r="Q11" s="24" t="s">
        <v>49</v>
      </c>
      <c r="R11" s="24"/>
      <c r="S11" s="24" t="s">
        <v>2770</v>
      </c>
      <c r="T11" s="24"/>
      <c r="U11" s="24"/>
      <c r="V11" s="24"/>
      <c r="W11" s="24" t="s">
        <v>43</v>
      </c>
      <c r="X11" s="24" t="s">
        <v>49</v>
      </c>
      <c r="Y11" s="24" t="s">
        <v>43</v>
      </c>
      <c r="Z11" s="24"/>
      <c r="AA11" s="24"/>
      <c r="AB11" s="24"/>
      <c r="AC11" s="24" t="s">
        <v>43</v>
      </c>
      <c r="AD11" s="24"/>
      <c r="AE11" s="24" t="s">
        <v>49</v>
      </c>
      <c r="AF11" s="24" t="s">
        <v>49</v>
      </c>
      <c r="AG11" s="24"/>
      <c r="AH11" s="7"/>
      <c r="AI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/>
      <c r="K12" s="24" t="s">
        <v>2770</v>
      </c>
      <c r="L12" s="24" t="s">
        <v>43</v>
      </c>
      <c r="M12" s="24"/>
      <c r="N12" s="24"/>
      <c r="O12" s="24"/>
      <c r="P12" s="24"/>
      <c r="Q12" s="24"/>
      <c r="R12" s="24" t="s">
        <v>43</v>
      </c>
      <c r="S12" s="24"/>
      <c r="T12" s="24"/>
      <c r="U12" s="24"/>
      <c r="V12" s="24"/>
      <c r="W12" s="24"/>
      <c r="X12" s="24"/>
      <c r="Y12" s="24" t="s">
        <v>43</v>
      </c>
      <c r="Z12" s="24" t="s">
        <v>43</v>
      </c>
      <c r="AA12" s="24"/>
      <c r="AB12" s="24"/>
      <c r="AC12" s="24"/>
      <c r="AD12" s="24"/>
      <c r="AE12" s="7" t="s">
        <v>49</v>
      </c>
      <c r="AF12" s="7" t="s">
        <v>43</v>
      </c>
      <c r="AG12" s="7"/>
      <c r="AH12" s="24"/>
      <c r="AI12" s="24"/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/>
      <c r="F13" s="24" t="s">
        <v>49</v>
      </c>
      <c r="G13" s="24"/>
      <c r="H13" s="24"/>
      <c r="I13" s="24"/>
      <c r="J13" s="24"/>
      <c r="K13" s="24"/>
      <c r="L13" s="24" t="s">
        <v>43</v>
      </c>
      <c r="M13" s="24"/>
      <c r="N13" s="24"/>
      <c r="O13" s="24"/>
      <c r="P13" s="24" t="s">
        <v>43</v>
      </c>
      <c r="Q13" s="24"/>
      <c r="R13" s="24"/>
      <c r="S13" s="24"/>
      <c r="T13" s="24"/>
      <c r="U13" s="24"/>
      <c r="V13" s="24"/>
      <c r="W13" s="24" t="s">
        <v>43</v>
      </c>
      <c r="X13" s="24" t="s">
        <v>43</v>
      </c>
      <c r="Y13" s="24"/>
      <c r="Z13" s="24"/>
      <c r="AA13" s="24"/>
      <c r="AB13" s="24"/>
      <c r="AC13" s="24" t="s">
        <v>43</v>
      </c>
      <c r="AD13" s="24" t="s">
        <v>49</v>
      </c>
      <c r="AE13" s="24"/>
      <c r="AF13" s="24" t="s">
        <v>49</v>
      </c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 t="s">
        <v>43</v>
      </c>
      <c r="F14" s="24"/>
      <c r="G14" s="24"/>
      <c r="H14" s="24"/>
      <c r="I14" s="24" t="s">
        <v>49</v>
      </c>
      <c r="J14" s="24"/>
      <c r="K14" s="24"/>
      <c r="L14" s="24"/>
      <c r="M14" s="24"/>
      <c r="N14" s="24"/>
      <c r="O14" s="24" t="s">
        <v>43</v>
      </c>
      <c r="P14" s="24"/>
      <c r="Q14" s="24"/>
      <c r="R14" s="24"/>
      <c r="S14" s="24"/>
      <c r="T14" s="24"/>
      <c r="U14" s="24" t="s">
        <v>43</v>
      </c>
      <c r="V14" s="24" t="s">
        <v>49</v>
      </c>
      <c r="W14" s="24"/>
      <c r="X14" s="24"/>
      <c r="Y14" s="24" t="s">
        <v>43</v>
      </c>
      <c r="Z14" s="24"/>
      <c r="AA14" s="24"/>
      <c r="AB14" s="24"/>
      <c r="AC14" s="24"/>
      <c r="AD14" s="24"/>
      <c r="AE14" s="24" t="s">
        <v>49</v>
      </c>
      <c r="AF14" s="24"/>
      <c r="AG14" s="24"/>
      <c r="AH14" s="24"/>
      <c r="AI14" s="24"/>
    </row>
    <row r="15" customFormat="false" ht="28.3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/>
      <c r="F15" s="24"/>
      <c r="G15" s="24"/>
      <c r="H15" s="24"/>
      <c r="I15" s="24"/>
      <c r="J15" s="24"/>
      <c r="K15" s="24"/>
      <c r="L15" s="24" t="s">
        <v>43</v>
      </c>
      <c r="M15" s="24"/>
      <c r="N15" s="24"/>
      <c r="O15" s="24"/>
      <c r="P15" s="24"/>
      <c r="Q15" s="24"/>
      <c r="R15" s="68" t="s">
        <v>2783</v>
      </c>
      <c r="S15" s="24"/>
      <c r="T15" s="24"/>
      <c r="U15" s="24"/>
      <c r="V15" s="24"/>
      <c r="W15" s="24"/>
      <c r="X15" s="24" t="s">
        <v>43</v>
      </c>
      <c r="Y15" s="24" t="s">
        <v>43</v>
      </c>
      <c r="Z15" s="24"/>
      <c r="AA15" s="24"/>
      <c r="AB15" s="24"/>
      <c r="AC15" s="24"/>
      <c r="AD15" s="24"/>
      <c r="AE15" s="24" t="s">
        <v>49</v>
      </c>
      <c r="AF15" s="24" t="s">
        <v>222</v>
      </c>
      <c r="AG15" s="24" t="s">
        <v>43</v>
      </c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 t="s">
        <v>43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 t="s">
        <v>43</v>
      </c>
      <c r="R16" s="24" t="s">
        <v>49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 t="s">
        <v>49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 t="s">
        <v>43</v>
      </c>
      <c r="S17" s="24"/>
      <c r="T17" s="24"/>
      <c r="U17" s="24"/>
      <c r="V17" s="24"/>
      <c r="W17" s="24" t="s">
        <v>43</v>
      </c>
      <c r="X17" s="24"/>
      <c r="Y17" s="24"/>
      <c r="Z17" s="24" t="s">
        <v>49</v>
      </c>
      <c r="AA17" s="24"/>
      <c r="AB17" s="24"/>
      <c r="AC17" s="24"/>
      <c r="AD17" s="24"/>
      <c r="AE17" s="24" t="s">
        <v>49</v>
      </c>
      <c r="AF17" s="24"/>
      <c r="AG17" s="24"/>
      <c r="AH17" s="24" t="s">
        <v>43</v>
      </c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 t="s">
        <v>49</v>
      </c>
      <c r="S18" s="24"/>
      <c r="T18" s="24"/>
      <c r="U18" s="24"/>
      <c r="V18" s="24" t="s">
        <v>2770</v>
      </c>
      <c r="W18" s="24"/>
      <c r="X18" s="24"/>
      <c r="Y18" s="24" t="s">
        <v>49</v>
      </c>
      <c r="Z18" s="24" t="s">
        <v>43</v>
      </c>
      <c r="AA18" s="24"/>
      <c r="AB18" s="24"/>
      <c r="AC18" s="24" t="s">
        <v>43</v>
      </c>
      <c r="AD18" s="24"/>
      <c r="AE18" s="24" t="s">
        <v>43</v>
      </c>
      <c r="AF18" s="24"/>
      <c r="AG18" s="24"/>
      <c r="AH18" s="24"/>
      <c r="AI18" s="24"/>
    </row>
    <row r="19" customFormat="false" ht="28.3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 t="s">
        <v>49</v>
      </c>
      <c r="R19" s="24"/>
      <c r="S19" s="24"/>
      <c r="T19" s="24"/>
      <c r="U19" s="24"/>
      <c r="V19" s="24"/>
      <c r="W19" s="24" t="s">
        <v>49</v>
      </c>
      <c r="X19" s="24"/>
      <c r="Y19" s="24"/>
      <c r="Z19" s="24"/>
      <c r="AA19" s="24"/>
      <c r="AB19" s="24"/>
      <c r="AC19" s="24"/>
      <c r="AD19" s="24"/>
      <c r="AE19" s="24"/>
      <c r="AF19" s="68" t="s">
        <v>2769</v>
      </c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/>
      <c r="H20" s="24"/>
      <c r="I20" s="24"/>
      <c r="J20" s="24" t="s">
        <v>43</v>
      </c>
      <c r="K20" s="24"/>
      <c r="L20" s="24"/>
      <c r="M20" s="24" t="s">
        <v>43</v>
      </c>
      <c r="N20" s="24"/>
      <c r="O20" s="24"/>
      <c r="P20" s="24"/>
      <c r="Q20" s="24" t="s">
        <v>49</v>
      </c>
      <c r="R20" s="24"/>
      <c r="S20" s="24"/>
      <c r="T20" s="24"/>
      <c r="U20" s="24"/>
      <c r="V20" s="24"/>
      <c r="W20" s="24"/>
      <c r="X20" s="24" t="s">
        <v>43</v>
      </c>
      <c r="Y20" s="24"/>
      <c r="Z20" s="24"/>
      <c r="AA20" s="24"/>
      <c r="AB20" s="24" t="s">
        <v>43</v>
      </c>
      <c r="AC20" s="24" t="s">
        <v>49</v>
      </c>
      <c r="AD20" s="24"/>
      <c r="AE20" s="24"/>
      <c r="AF20" s="24"/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 t="s">
        <v>43</v>
      </c>
      <c r="F21" s="24"/>
      <c r="G21" s="24"/>
      <c r="H21" s="24" t="s">
        <v>43</v>
      </c>
      <c r="I21" s="24"/>
      <c r="J21" s="24"/>
      <c r="K21" s="24"/>
      <c r="L21" s="24"/>
      <c r="M21" s="24"/>
      <c r="N21" s="24"/>
      <c r="O21" s="24" t="s">
        <v>43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C21" s="24"/>
      <c r="AD21" s="24"/>
      <c r="AE21" s="24"/>
      <c r="AF21" s="24" t="s">
        <v>43</v>
      </c>
      <c r="AG21" s="24"/>
      <c r="AH21" s="24"/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 t="s">
        <v>43</v>
      </c>
      <c r="G22" s="24"/>
      <c r="H22" s="24"/>
      <c r="I22" s="24"/>
      <c r="J22" s="24" t="s">
        <v>43</v>
      </c>
      <c r="K22" s="24"/>
      <c r="L22" s="24"/>
      <c r="M22" s="24"/>
      <c r="N22" s="24"/>
      <c r="O22" s="24" t="s">
        <v>43</v>
      </c>
      <c r="P22" s="24"/>
      <c r="Q22" s="24"/>
      <c r="R22" s="24"/>
      <c r="S22" s="24"/>
      <c r="T22" s="24"/>
      <c r="U22" s="24"/>
      <c r="V22" s="24"/>
      <c r="W22" s="24"/>
      <c r="X22" s="24"/>
      <c r="Y22" s="24" t="s">
        <v>49</v>
      </c>
      <c r="Z22" s="24"/>
      <c r="AA22" s="24"/>
      <c r="AB22" s="24"/>
      <c r="AC22" s="24"/>
      <c r="AD22" s="24"/>
      <c r="AE22" s="24" t="s">
        <v>43</v>
      </c>
      <c r="AF22" s="24"/>
      <c r="AG22" s="24"/>
      <c r="AH22" s="24"/>
      <c r="AI22" s="24"/>
    </row>
    <row r="23" customFormat="false" ht="15.75" hidden="false" customHeight="true" outlineLevel="0" collapsed="false">
      <c r="A23" s="37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customFormat="false" ht="15.75" hidden="false" customHeight="true" outlineLevel="0" collapsed="false">
      <c r="A24" s="38" t="n">
        <v>21</v>
      </c>
      <c r="B24" s="24" t="s">
        <v>209</v>
      </c>
      <c r="C24" s="24" t="s">
        <v>209</v>
      </c>
      <c r="D24" s="39" t="n">
        <v>1</v>
      </c>
      <c r="E24" s="24" t="s">
        <v>2770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24" t="s">
        <v>2740</v>
      </c>
      <c r="C29" s="24" t="n">
        <f aca="false">SUM(C30:C34)</f>
        <v>21</v>
      </c>
      <c r="D29" s="44" t="n">
        <f aca="false">C29*7</f>
        <v>147</v>
      </c>
      <c r="E29" s="24" t="n">
        <f aca="false">C29*30</f>
        <v>630</v>
      </c>
      <c r="G29" s="44"/>
      <c r="H29" s="47" t="n">
        <v>45536</v>
      </c>
      <c r="I29" s="44" t="s">
        <v>2784</v>
      </c>
      <c r="J29" s="44" t="s">
        <v>2785</v>
      </c>
      <c r="K29" s="44"/>
      <c r="L29" s="47" t="n">
        <v>45536</v>
      </c>
      <c r="M29" s="44" t="s">
        <v>2741</v>
      </c>
      <c r="N29" s="44" t="s">
        <v>2742</v>
      </c>
      <c r="Q29" s="36" t="s">
        <v>2740</v>
      </c>
      <c r="R29" s="24" t="n">
        <f aca="false">SUM(R30:R34)</f>
        <v>17</v>
      </c>
      <c r="S29" s="24" t="n">
        <f aca="false">R29*31</f>
        <v>527</v>
      </c>
      <c r="T29" s="24" t="n">
        <f aca="false">SUM(T30:T34)</f>
        <v>142</v>
      </c>
      <c r="U29" s="48" t="n">
        <f aca="false">T29/S29</f>
        <v>0.269449715370019</v>
      </c>
    </row>
    <row r="30" customFormat="false" ht="15.75" hidden="false" customHeight="true" outlineLevel="0" collapsed="false">
      <c r="B30" s="24" t="s">
        <v>65</v>
      </c>
      <c r="C30" s="24" t="n">
        <f aca="false">COUNTIF($B$4:$B$24,B30)</f>
        <v>6</v>
      </c>
      <c r="D30" s="44" t="n">
        <f aca="false">C30*7</f>
        <v>42</v>
      </c>
      <c r="E30" s="24" t="n">
        <f aca="false">C30*30</f>
        <v>180</v>
      </c>
      <c r="G30" s="24" t="s">
        <v>65</v>
      </c>
      <c r="H30" s="24" t="n">
        <f aca="false">COUNTA(E4:E9)</f>
        <v>1</v>
      </c>
      <c r="I30" s="24" t="n">
        <f aca="false">COUNTA(J4:P9)</f>
        <v>14</v>
      </c>
      <c r="J30" s="24" t="n">
        <f aca="false">COUNTA(E4:AH9)</f>
        <v>62</v>
      </c>
      <c r="K30" s="24" t="s">
        <v>65</v>
      </c>
      <c r="L30" s="24" t="n">
        <f aca="false">COUNTBLANK(E4:E9)</f>
        <v>5</v>
      </c>
      <c r="M30" s="24" t="n">
        <f aca="false">COUNTBLANK(J4:P9)</f>
        <v>28</v>
      </c>
      <c r="N30" s="49" t="n">
        <f aca="false">COUNTBLANK(E4:AI9)</f>
        <v>124</v>
      </c>
      <c r="O30" s="50" t="n">
        <f aca="false">J30+N30</f>
        <v>186</v>
      </c>
      <c r="Q30" s="24" t="s">
        <v>65</v>
      </c>
      <c r="R30" s="24" t="n">
        <v>6</v>
      </c>
      <c r="S30" s="24" t="n">
        <f aca="false">R30*31</f>
        <v>186</v>
      </c>
      <c r="T30" s="24" t="n">
        <f aca="false">J30</f>
        <v>62</v>
      </c>
      <c r="U30" s="48" t="n">
        <f aca="false">T30/S30</f>
        <v>0.333333333333333</v>
      </c>
    </row>
    <row r="31" customFormat="false" ht="15.75" hidden="false" customHeight="true" outlineLevel="0" collapsed="false">
      <c r="B31" s="24" t="s">
        <v>60</v>
      </c>
      <c r="C31" s="24" t="n">
        <f aca="false">COUNTIF($B$4:$B$24,B31)</f>
        <v>4</v>
      </c>
      <c r="D31" s="44" t="n">
        <f aca="false">C31*7</f>
        <v>28</v>
      </c>
      <c r="E31" s="24" t="n">
        <f aca="false">C31*30</f>
        <v>120</v>
      </c>
      <c r="G31" s="24" t="s">
        <v>60</v>
      </c>
      <c r="H31" s="24" t="n">
        <f aca="false">COUNTA(E10:E13)</f>
        <v>0</v>
      </c>
      <c r="I31" s="24" t="n">
        <f aca="false">COUNTA(J10:P13)</f>
        <v>9</v>
      </c>
      <c r="J31" s="24" t="n">
        <f aca="false">COUNTA(E10:AH13)</f>
        <v>32</v>
      </c>
      <c r="K31" s="24" t="s">
        <v>60</v>
      </c>
      <c r="L31" s="49" t="n">
        <f aca="false">COUNTBLANK(E10:E13)</f>
        <v>4</v>
      </c>
      <c r="M31" s="24" t="n">
        <f aca="false">COUNTBLANK(J10:P13)</f>
        <v>19</v>
      </c>
      <c r="N31" s="24" t="n">
        <f aca="false">COUNTBLANK(E10:AI13)</f>
        <v>92</v>
      </c>
      <c r="O31" s="50" t="n">
        <f aca="false">J31+N31</f>
        <v>124</v>
      </c>
      <c r="Q31" s="24" t="s">
        <v>60</v>
      </c>
      <c r="R31" s="24" t="n">
        <v>4</v>
      </c>
      <c r="S31" s="24" t="n">
        <f aca="false">R31*31</f>
        <v>124</v>
      </c>
      <c r="T31" s="24" t="n">
        <f aca="false">J31</f>
        <v>32</v>
      </c>
      <c r="U31" s="48" t="n">
        <f aca="false">T31/S31</f>
        <v>0.258064516129032</v>
      </c>
    </row>
    <row r="32" customFormat="false" ht="15.75" hidden="false" customHeight="true" outlineLevel="0" collapsed="false">
      <c r="B32" s="24" t="s">
        <v>71</v>
      </c>
      <c r="C32" s="24" t="n">
        <f aca="false">COUNTIF($B$4:$B$24,B32)</f>
        <v>3</v>
      </c>
      <c r="D32" s="44" t="n">
        <f aca="false">C32*7</f>
        <v>21</v>
      </c>
      <c r="E32" s="24" t="n">
        <f aca="false">C32*30</f>
        <v>90</v>
      </c>
      <c r="G32" s="24" t="s">
        <v>71</v>
      </c>
      <c r="H32" s="24" t="n">
        <f aca="false">COUNTA(E14:E16)</f>
        <v>2</v>
      </c>
      <c r="I32" s="24" t="n">
        <f aca="false">COUNTA(J14:P16)</f>
        <v>2</v>
      </c>
      <c r="J32" s="24" t="n">
        <f aca="false">COUNTA(E14:AH16)</f>
        <v>17</v>
      </c>
      <c r="K32" s="24" t="s">
        <v>71</v>
      </c>
      <c r="L32" s="49" t="n">
        <f aca="false">COUNTBLANK(E14:E16)</f>
        <v>1</v>
      </c>
      <c r="M32" s="24" t="n">
        <f aca="false">COUNTBLANK(J14:P15)</f>
        <v>12</v>
      </c>
      <c r="N32" s="24" t="n">
        <f aca="false">COUNTBLANK(E14:AI15)</f>
        <v>48</v>
      </c>
      <c r="O32" s="50" t="n">
        <f aca="false">J32+N32</f>
        <v>65</v>
      </c>
      <c r="Q32" s="24" t="s">
        <v>71</v>
      </c>
      <c r="R32" s="24" t="n">
        <v>2</v>
      </c>
      <c r="S32" s="24" t="n">
        <f aca="false">R32*31</f>
        <v>62</v>
      </c>
      <c r="T32" s="24" t="n">
        <f aca="false">J32</f>
        <v>17</v>
      </c>
      <c r="U32" s="48" t="n">
        <f aca="false">T32/S32</f>
        <v>0.274193548387097</v>
      </c>
    </row>
    <row r="33" customFormat="false" ht="15.75" hidden="false" customHeight="true" outlineLevel="0" collapsed="false">
      <c r="B33" s="24" t="s">
        <v>31</v>
      </c>
      <c r="C33" s="24" t="n">
        <f aca="false">COUNTIF($B$4:$B$24,B33)</f>
        <v>7</v>
      </c>
      <c r="D33" s="44" t="n">
        <f aca="false">C33*7</f>
        <v>49</v>
      </c>
      <c r="E33" s="24" t="n">
        <f aca="false">C33*30</f>
        <v>210</v>
      </c>
      <c r="G33" s="24" t="s">
        <v>2743</v>
      </c>
      <c r="H33" s="24" t="n">
        <f aca="false">COUNTA(E17:E23)</f>
        <v>1</v>
      </c>
      <c r="I33" s="24" t="n">
        <f aca="false">COUNTA(J17:P23)</f>
        <v>5</v>
      </c>
      <c r="J33" s="24" t="n">
        <f aca="false">COUNTA(E17:AH23)</f>
        <v>30</v>
      </c>
      <c r="K33" s="24" t="s">
        <v>2743</v>
      </c>
      <c r="L33" s="49" t="n">
        <f aca="false">COUNTBLANK(E17:E23)</f>
        <v>6</v>
      </c>
      <c r="M33" s="24" t="n">
        <f aca="false">COUNTBLANK(J19:P22)</f>
        <v>23</v>
      </c>
      <c r="N33" s="24" t="n">
        <f aca="false">COUNTBLANK(E19:AI22)</f>
        <v>106</v>
      </c>
      <c r="O33" s="50" t="n">
        <f aca="false">J33+N33</f>
        <v>136</v>
      </c>
      <c r="Q33" s="51" t="s">
        <v>2743</v>
      </c>
      <c r="R33" s="51" t="n">
        <v>4</v>
      </c>
      <c r="S33" s="24" t="n">
        <f aca="false">R33*31</f>
        <v>124</v>
      </c>
      <c r="T33" s="24" t="n">
        <f aca="false">J33</f>
        <v>30</v>
      </c>
      <c r="U33" s="48" t="n">
        <f aca="false">T33/S33</f>
        <v>0.241935483870968</v>
      </c>
    </row>
    <row r="34" customFormat="false" ht="15.75" hidden="false" customHeight="true" outlineLevel="0" collapsed="false">
      <c r="B34" s="24" t="s">
        <v>209</v>
      </c>
      <c r="C34" s="24" t="n">
        <f aca="false">COUNTIF($B$4:$B$24,B34)</f>
        <v>1</v>
      </c>
      <c r="D34" s="44" t="n">
        <f aca="false">C34*7</f>
        <v>7</v>
      </c>
      <c r="E34" s="24" t="n">
        <f aca="false">C34*30</f>
        <v>30</v>
      </c>
      <c r="G34" s="24" t="s">
        <v>2744</v>
      </c>
      <c r="H34" s="24" t="n">
        <f aca="false">COUNTA(E24)</f>
        <v>1</v>
      </c>
      <c r="I34" s="24" t="n">
        <f aca="false">COUNTA(J24)</f>
        <v>0</v>
      </c>
      <c r="J34" s="24" t="n">
        <f aca="false">COUNTA(E24)</f>
        <v>1</v>
      </c>
      <c r="K34" s="24" t="s">
        <v>2744</v>
      </c>
      <c r="L34" s="24" t="n">
        <f aca="false">COUNTBLANK(E24)</f>
        <v>0</v>
      </c>
      <c r="M34" s="24" t="n">
        <f aca="false">COUNTBLANK(J24:P24)</f>
        <v>7</v>
      </c>
      <c r="N34" s="24" t="n">
        <f aca="false">COUNTBLANK(E24:AI24)</f>
        <v>30</v>
      </c>
      <c r="O34" s="50" t="n">
        <f aca="false">J34+N34</f>
        <v>31</v>
      </c>
      <c r="Q34" s="24" t="s">
        <v>2744</v>
      </c>
      <c r="R34" s="24" t="n">
        <v>1</v>
      </c>
      <c r="S34" s="24" t="n">
        <f aca="false">R34*31</f>
        <v>31</v>
      </c>
      <c r="T34" s="24" t="n">
        <f aca="false">J34</f>
        <v>1</v>
      </c>
      <c r="U34" s="48" t="n">
        <f aca="false">T34/S34</f>
        <v>0.032258064516129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  <c r="M37" s="53" t="s">
        <v>2746</v>
      </c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5" t="s">
        <v>2737</v>
      </c>
      <c r="N38" s="54" t="s">
        <v>2749</v>
      </c>
      <c r="O38" s="54" t="s">
        <v>2750</v>
      </c>
      <c r="P38" s="54" t="s">
        <v>2751</v>
      </c>
      <c r="Q38" s="54" t="s">
        <v>2752</v>
      </c>
      <c r="R38" s="54" t="s">
        <v>2753</v>
      </c>
      <c r="S38" s="54" t="s">
        <v>2754</v>
      </c>
      <c r="T38" s="54" t="s">
        <v>2755</v>
      </c>
      <c r="U38" s="54" t="s">
        <v>36</v>
      </c>
      <c r="V38" s="54" t="s">
        <v>2756</v>
      </c>
      <c r="W38" s="54" t="s">
        <v>2757</v>
      </c>
      <c r="X38" s="54" t="s">
        <v>2758</v>
      </c>
      <c r="Y38" s="43" t="s">
        <v>2759</v>
      </c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SUMPRODUCT(LEN($E$4:$AH$24)-LEN(SUBSTITUTE($E$4:$AH$24,B39,"")))/LEN(B39)</f>
        <v>0</v>
      </c>
      <c r="M39" s="56" t="s">
        <v>65</v>
      </c>
      <c r="N39" s="43" t="n">
        <f aca="false">E30</f>
        <v>180</v>
      </c>
      <c r="O39" s="24" t="n">
        <f aca="false">COUNTIF($E$4:$AI$9,O44)</f>
        <v>0</v>
      </c>
      <c r="P39" s="24" t="n">
        <f aca="false">COUNTIF($E$4:$AI$9,P44)</f>
        <v>0</v>
      </c>
      <c r="Q39" s="24" t="n">
        <f aca="false">COUNTIF($E$4:$AI$9,Q44)</f>
        <v>0</v>
      </c>
      <c r="R39" s="24" t="n">
        <f aca="false">COUNTIF($E$4:$AI$9,R44)</f>
        <v>35</v>
      </c>
      <c r="S39" s="24" t="n">
        <f aca="false">COUNTIF($E$4:$AI$9,S44)</f>
        <v>0</v>
      </c>
      <c r="T39" s="24" t="n">
        <f aca="false">COUNTIF($E$4:$AI$9,T44)</f>
        <v>0</v>
      </c>
      <c r="U39" s="24" t="n">
        <f aca="false">COUNTIF($E$4:$AI$9,U44)</f>
        <v>0</v>
      </c>
      <c r="V39" s="24" t="n">
        <f aca="false">COUNTIF($E$4:$AI$9,V44)</f>
        <v>0</v>
      </c>
      <c r="W39" s="24" t="n">
        <f aca="false">COUNTIF($E$4:$AI$9,W44)</f>
        <v>0</v>
      </c>
      <c r="X39" s="24" t="n">
        <f aca="false">COUNTIF($E$4:$AI$9,X44)</f>
        <v>0</v>
      </c>
      <c r="Y39" s="24" t="n">
        <f aca="false">COUNTIF($E$4:$AI$9,Y44)</f>
        <v>0</v>
      </c>
      <c r="Z39" s="50" t="n">
        <f aca="false">SUM(O39:Y39)</f>
        <v>35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SUMPRODUCT(LEN($E$4:$AH$24)-LEN(SUBSTITUTE($E$4:$AH$24,B40,"")))/LEN(B40)</f>
        <v>0</v>
      </c>
      <c r="M40" s="56" t="s">
        <v>60</v>
      </c>
      <c r="N40" s="43" t="n">
        <f aca="false">E31</f>
        <v>120</v>
      </c>
      <c r="O40" s="24" t="n">
        <f aca="false">COUNTIF($E$10:$AI$13,O44)</f>
        <v>0</v>
      </c>
      <c r="P40" s="24" t="n">
        <f aca="false">COUNTIF($E$10:$AI$13,P44)</f>
        <v>0</v>
      </c>
      <c r="Q40" s="24" t="n">
        <f aca="false">COUNTIF($E$10:$AI$13,Q44)</f>
        <v>0</v>
      </c>
      <c r="R40" s="24" t="n">
        <f aca="false">COUNTIF($E$10:$AI$13,R44)</f>
        <v>20</v>
      </c>
      <c r="S40" s="24" t="n">
        <f aca="false">COUNTIF($E$10:$AI$13,S44)</f>
        <v>0</v>
      </c>
      <c r="T40" s="24" t="n">
        <f aca="false">COUNTIF($E$10:$AI$13,T44)</f>
        <v>0</v>
      </c>
      <c r="U40" s="24" t="n">
        <f aca="false">COUNTIF($E$10:$AI$13,U44)</f>
        <v>0</v>
      </c>
      <c r="V40" s="24" t="n">
        <f aca="false">COUNTIF($E$10:$AI$13,V44)</f>
        <v>0</v>
      </c>
      <c r="W40" s="24" t="n">
        <f aca="false">COUNTIF($E$10:$AI$13,W44)</f>
        <v>0</v>
      </c>
      <c r="X40" s="24" t="n">
        <f aca="false">COUNTIF($E$10:$AI$13,X44)</f>
        <v>0</v>
      </c>
      <c r="Y40" s="24" t="n">
        <f aca="false">COUNTIF($E$10:$AI$13,Y44)</f>
        <v>0</v>
      </c>
      <c r="Z40" s="50" t="n">
        <f aca="false">SUM(O40:Y40)</f>
        <v>20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SUMPRODUCT(LEN($E$4:$AH$24)-LEN(SUBSTITUTE($E$4:$AH$24,B41,"")))/LEN(B41)</f>
        <v>0</v>
      </c>
      <c r="M41" s="56" t="s">
        <v>71</v>
      </c>
      <c r="N41" s="43" t="n">
        <f aca="false">E32</f>
        <v>90</v>
      </c>
      <c r="O41" s="24" t="n">
        <f aca="false">COUNTIF($E$14:$AH$15,O44)</f>
        <v>0</v>
      </c>
      <c r="P41" s="24" t="n">
        <f aca="false">COUNTIF($E$14:$AH$15,P44)</f>
        <v>0</v>
      </c>
      <c r="Q41" s="24" t="n">
        <f aca="false">COUNTIF($E$14:$AH$15,Q44)</f>
        <v>0</v>
      </c>
      <c r="R41" s="24" t="n">
        <f aca="false">COUNTIF($E$14:$AH$15,R44)</f>
        <v>8</v>
      </c>
      <c r="S41" s="24" t="n">
        <f aca="false">COUNTIF($E$14:$AH$15,S44)</f>
        <v>0</v>
      </c>
      <c r="T41" s="24" t="n">
        <f aca="false">COUNTIF($E$14:$AH$15,T44)</f>
        <v>0</v>
      </c>
      <c r="U41" s="24" t="n">
        <f aca="false">COUNTIF($E$14:$AH$15,U44)</f>
        <v>0</v>
      </c>
      <c r="V41" s="24" t="n">
        <f aca="false">COUNTIF($E$14:$AH$15,V44)</f>
        <v>0</v>
      </c>
      <c r="W41" s="24" t="n">
        <f aca="false">COUNTIF($E$14:$AH$15,W44)</f>
        <v>0</v>
      </c>
      <c r="X41" s="24" t="n">
        <f aca="false">COUNTIF($E$14:$AH$15,X44)</f>
        <v>0</v>
      </c>
      <c r="Y41" s="24" t="n">
        <f aca="false">COUNTIF($E$14:$AH$15,Y44)</f>
        <v>0</v>
      </c>
      <c r="Z41" s="50" t="n">
        <f aca="false">SUM(O41:Y41)</f>
        <v>8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SUMPRODUCT(LEN($E$4:$AH$24)-LEN(SUBSTITUTE($E$4:$AH$24,B42,"")))/LEN(B42)</f>
        <v>89</v>
      </c>
      <c r="M42" s="57" t="s">
        <v>2743</v>
      </c>
      <c r="N42" s="43" t="n">
        <f aca="false">E33</f>
        <v>210</v>
      </c>
      <c r="O42" s="24" t="n">
        <f aca="false">COUNTIF($E$19:$AI$22,O44)</f>
        <v>0</v>
      </c>
      <c r="P42" s="24" t="n">
        <f aca="false">COUNTIF($E$19:$AI$22,P44)</f>
        <v>0</v>
      </c>
      <c r="Q42" s="24" t="n">
        <f aca="false">COUNTIF($E$19:$AI$22,Q44)</f>
        <v>0</v>
      </c>
      <c r="R42" s="24" t="n">
        <f aca="false">COUNTIF($E$19:$AI$22,R44)</f>
        <v>12</v>
      </c>
      <c r="S42" s="24" t="n">
        <f aca="false">COUNTIF($E$19:$AI$22,S44)</f>
        <v>0</v>
      </c>
      <c r="T42" s="24" t="n">
        <f aca="false">COUNTIF($E$19:$AI$22,T44)</f>
        <v>0</v>
      </c>
      <c r="U42" s="24" t="n">
        <f aca="false">COUNTIF($E$19:$AI$22,U44)</f>
        <v>0</v>
      </c>
      <c r="V42" s="24" t="n">
        <f aca="false">COUNTIF($E$19:$AI$22,V44)</f>
        <v>0</v>
      </c>
      <c r="W42" s="24" t="n">
        <f aca="false">COUNTIF($E$19:$AI$22,W44)</f>
        <v>0</v>
      </c>
      <c r="X42" s="24" t="n">
        <f aca="false">COUNTIF($E$19:$AI$22,X44)</f>
        <v>0</v>
      </c>
      <c r="Y42" s="24" t="n">
        <f aca="false">COUNTIF($E$19:$AI$22,Y44)</f>
        <v>0</v>
      </c>
      <c r="Z42" s="50" t="n">
        <f aca="false">SUM(O42:Y42)</f>
        <v>12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SUMPRODUCT(LEN($E$4:$AH$24)-LEN(SUBSTITUTE($E$4:$AH$24,B43,"")))/LEN(B43)</f>
        <v>0</v>
      </c>
      <c r="M43" s="56" t="s">
        <v>2744</v>
      </c>
      <c r="N43" s="43" t="n">
        <f aca="false">E34</f>
        <v>30</v>
      </c>
      <c r="O43" s="24" t="n">
        <f aca="false">COUNTIF($E$24:$AI$24,O44)</f>
        <v>0</v>
      </c>
      <c r="P43" s="24" t="n">
        <f aca="false">COUNTIF($E$24:$AI$24,P44)</f>
        <v>0</v>
      </c>
      <c r="Q43" s="24" t="n">
        <f aca="false">COUNTIF($E$24:$AI$24,Q44)</f>
        <v>0</v>
      </c>
      <c r="R43" s="24" t="n">
        <f aca="false">COUNTIF($E$24:$AI$24,R44)</f>
        <v>0</v>
      </c>
      <c r="S43" s="24" t="n">
        <f aca="false">COUNTIF($E$24:$AI$24,S44)</f>
        <v>0</v>
      </c>
      <c r="T43" s="24" t="n">
        <f aca="false">COUNTIF($E$24:$AI$24,T44)</f>
        <v>0</v>
      </c>
      <c r="U43" s="24" t="n">
        <f aca="false">COUNTIF($E$24:$AI$24,U44)</f>
        <v>0</v>
      </c>
      <c r="V43" s="24" t="n">
        <f aca="false">COUNTIF($E$24:$AI$24,V44)</f>
        <v>0</v>
      </c>
      <c r="W43" s="24" t="n">
        <f aca="false">COUNTIF($E$24:$AI$24,W44)</f>
        <v>0</v>
      </c>
      <c r="X43" s="24" t="n">
        <f aca="false">COUNTIF($E$24:$AI$24,X44)</f>
        <v>0</v>
      </c>
      <c r="Y43" s="24" t="n">
        <f aca="false">COUNTIF($E$24:$AI$24,Y44)</f>
        <v>0</v>
      </c>
      <c r="Z43" s="50" t="n">
        <f aca="false">SUM(O43:Y43)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SUMPRODUCT(LEN($E$4:$AH$24)-LEN(SUBSTITUTE($E$4:$AH$24,B44,"")))/LEN(B44)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  <c r="Z44" s="50" t="n">
        <f aca="false">SUM(Z39:Z43)</f>
        <v>75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SUMPRODUCT(LEN($E$4:$AH$24)-LEN(SUBSTITUTE($E$4:$AH$24,B45,"")))/LEN(B45)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SUMPRODUCT(LEN($E$4:$AH$24)-LEN(SUBSTITUTE($E$4:$AH$24,B46,"")))/LEN(B46)</f>
        <v>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SUMPRODUCT(LEN($E$4:$AH$24)-LEN(SUBSTITUTE($E$4:$AH$24,B47,"")))/LEN(B47)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SUMPRODUCT(LEN($E$4:$AH$24)-LEN(SUBSTITUTE($E$4:$AH$24,B48,"")))/LEN(B48)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SUMPRODUCT(LEN($E$4:$AH$24)-LEN(SUBSTITUTE($E$4:$AH$24,B49,"")))/LEN(B49)</f>
        <v>0</v>
      </c>
    </row>
    <row r="50" customFormat="false" ht="15.75" hidden="false" customHeight="true" outlineLevel="0" collapsed="false">
      <c r="B50" s="24" t="s">
        <v>2770</v>
      </c>
      <c r="C50" s="24" t="s">
        <v>2770</v>
      </c>
      <c r="D50" s="18"/>
      <c r="G50" s="24" t="s">
        <v>2770</v>
      </c>
      <c r="H50" s="24"/>
      <c r="I50" s="24"/>
      <c r="J50" s="24" t="n">
        <f aca="false">SUMPRODUCT(LEN($E$4:$AH$24)-LEN(SUBSTITUTE($E$4:$AH$24,B50,"")))/LEN(B50)</f>
        <v>9</v>
      </c>
    </row>
    <row r="51" customFormat="false" ht="15.75" hidden="false" customHeight="true" outlineLevel="0" collapsed="false">
      <c r="B51" s="24" t="s">
        <v>49</v>
      </c>
      <c r="C51" s="24" t="s">
        <v>2773</v>
      </c>
      <c r="D51" s="18"/>
      <c r="G51" s="24" t="s">
        <v>2773</v>
      </c>
      <c r="H51" s="24"/>
      <c r="I51" s="24"/>
      <c r="J51" s="24" t="n">
        <f aca="false">SUMPRODUCT(LEN($E$4:$AH$24)-LEN(SUBSTITUTE($E$4:$AH$24,B51,"")))/LEN(B51)</f>
        <v>46</v>
      </c>
    </row>
    <row r="52" customFormat="false" ht="15.75" hidden="false" customHeight="true" outlineLevel="0" collapsed="false">
      <c r="B52" s="24" t="s">
        <v>113</v>
      </c>
      <c r="C52" s="24" t="s">
        <v>113</v>
      </c>
      <c r="D52" s="18"/>
      <c r="G52" s="24" t="s">
        <v>113</v>
      </c>
      <c r="H52" s="24"/>
      <c r="I52" s="24"/>
      <c r="J52" s="24" t="n">
        <f aca="false">SUMPRODUCT(LEN($E$4:$AH$24)-LEN(SUBSTITUTE($E$4:$AH$24,B52,"")))/LEN(B52)</f>
        <v>0</v>
      </c>
    </row>
    <row r="53" customFormat="false" ht="15.75" hidden="false" customHeight="true" outlineLevel="0" collapsed="false">
      <c r="B53" s="24" t="s">
        <v>222</v>
      </c>
      <c r="C53" s="24" t="s">
        <v>222</v>
      </c>
      <c r="D53" s="18"/>
      <c r="G53" s="24" t="s">
        <v>222</v>
      </c>
      <c r="H53" s="24"/>
      <c r="I53" s="24"/>
      <c r="J53" s="24" t="n">
        <f aca="false">SUMPRODUCT(LEN($E$4:$AH$24)-LEN(SUBSTITUTE($E$4:$AH$24,B53,"")))/LEN(B53)</f>
        <v>4</v>
      </c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7:Y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4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2786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2722</v>
      </c>
      <c r="F2" s="15" t="s">
        <v>2716</v>
      </c>
      <c r="G2" s="15" t="s">
        <v>2717</v>
      </c>
      <c r="H2" s="16" t="s">
        <v>2718</v>
      </c>
      <c r="I2" s="16" t="s">
        <v>2719</v>
      </c>
      <c r="J2" s="15" t="s">
        <v>2720</v>
      </c>
      <c r="K2" s="15" t="s">
        <v>2721</v>
      </c>
      <c r="L2" s="15" t="s">
        <v>2722</v>
      </c>
      <c r="M2" s="15" t="s">
        <v>2716</v>
      </c>
      <c r="N2" s="15" t="s">
        <v>2717</v>
      </c>
      <c r="O2" s="16" t="s">
        <v>2718</v>
      </c>
      <c r="P2" s="16" t="s">
        <v>2719</v>
      </c>
      <c r="Q2" s="15" t="s">
        <v>2720</v>
      </c>
      <c r="R2" s="15" t="s">
        <v>2721</v>
      </c>
      <c r="S2" s="15" t="s">
        <v>2722</v>
      </c>
      <c r="T2" s="15" t="s">
        <v>2716</v>
      </c>
      <c r="U2" s="15" t="s">
        <v>2717</v>
      </c>
      <c r="V2" s="16" t="s">
        <v>2718</v>
      </c>
      <c r="W2" s="16" t="s">
        <v>2719</v>
      </c>
      <c r="X2" s="15" t="s">
        <v>2720</v>
      </c>
      <c r="Y2" s="15" t="s">
        <v>2721</v>
      </c>
      <c r="Z2" s="15" t="s">
        <v>2722</v>
      </c>
      <c r="AA2" s="15" t="s">
        <v>2716</v>
      </c>
      <c r="AB2" s="15" t="s">
        <v>2717</v>
      </c>
      <c r="AC2" s="16" t="s">
        <v>2718</v>
      </c>
      <c r="AD2" s="16" t="s">
        <v>2719</v>
      </c>
      <c r="AE2" s="15" t="s">
        <v>2720</v>
      </c>
      <c r="AF2" s="15" t="s">
        <v>2721</v>
      </c>
      <c r="AG2" s="15" t="s">
        <v>2722</v>
      </c>
      <c r="AH2" s="15" t="s">
        <v>2716</v>
      </c>
      <c r="AI2" s="15" t="s">
        <v>2717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45566</v>
      </c>
      <c r="F3" s="19" t="n">
        <v>45567</v>
      </c>
      <c r="G3" s="19" t="n">
        <v>45568</v>
      </c>
      <c r="H3" s="19" t="n">
        <v>45569</v>
      </c>
      <c r="I3" s="19" t="n">
        <v>45570</v>
      </c>
      <c r="J3" s="19" t="n">
        <v>45571</v>
      </c>
      <c r="K3" s="19" t="n">
        <v>45572</v>
      </c>
      <c r="L3" s="19" t="n">
        <v>45573</v>
      </c>
      <c r="M3" s="19" t="n">
        <v>45574</v>
      </c>
      <c r="N3" s="19" t="n">
        <v>45575</v>
      </c>
      <c r="O3" s="19" t="n">
        <v>45576</v>
      </c>
      <c r="P3" s="19" t="n">
        <v>45577</v>
      </c>
      <c r="Q3" s="19" t="n">
        <v>45578</v>
      </c>
      <c r="R3" s="19" t="n">
        <v>45579</v>
      </c>
      <c r="S3" s="19" t="n">
        <v>45580</v>
      </c>
      <c r="T3" s="19" t="n">
        <v>45581</v>
      </c>
      <c r="U3" s="19" t="n">
        <v>45582</v>
      </c>
      <c r="V3" s="19" t="n">
        <v>45583</v>
      </c>
      <c r="W3" s="19" t="n">
        <v>45584</v>
      </c>
      <c r="X3" s="19" t="n">
        <v>45585</v>
      </c>
      <c r="Y3" s="19" t="n">
        <v>45586</v>
      </c>
      <c r="Z3" s="19" t="n">
        <v>45587</v>
      </c>
      <c r="AA3" s="19" t="n">
        <v>45588</v>
      </c>
      <c r="AB3" s="19" t="n">
        <v>45589</v>
      </c>
      <c r="AC3" s="19" t="n">
        <v>45590</v>
      </c>
      <c r="AD3" s="19" t="n">
        <v>45591</v>
      </c>
      <c r="AE3" s="19" t="n">
        <v>45592</v>
      </c>
      <c r="AF3" s="19" t="n">
        <v>45593</v>
      </c>
      <c r="AG3" s="19" t="n">
        <v>45594</v>
      </c>
      <c r="AH3" s="19" t="n">
        <v>45595</v>
      </c>
      <c r="AI3" s="19" t="n">
        <v>45596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 t="s">
        <v>43</v>
      </c>
      <c r="F4" s="24"/>
      <c r="G4" s="24"/>
      <c r="H4" s="24" t="s">
        <v>43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/>
      <c r="H5" s="24" t="s">
        <v>43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 t="s">
        <v>43</v>
      </c>
      <c r="G6" s="24"/>
      <c r="H6" s="24" t="s">
        <v>43</v>
      </c>
      <c r="I6" s="24" t="s">
        <v>49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 t="s">
        <v>43</v>
      </c>
      <c r="G7" s="24"/>
      <c r="H7" s="24" t="s">
        <v>43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/>
      <c r="G8" s="24"/>
      <c r="H8" s="24"/>
      <c r="I8" s="24"/>
      <c r="J8" s="24" t="s">
        <v>49</v>
      </c>
      <c r="K8" s="24"/>
      <c r="L8" s="24" t="s">
        <v>49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7"/>
      <c r="AD8" s="7"/>
      <c r="AE8" s="7"/>
      <c r="AF8" s="7"/>
      <c r="AG8" s="7"/>
      <c r="AH8" s="24"/>
      <c r="AI8" s="24"/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7"/>
      <c r="AD9" s="24"/>
      <c r="AE9" s="24"/>
      <c r="AF9" s="24"/>
      <c r="AG9" s="24"/>
      <c r="AH9" s="24"/>
      <c r="AI9" s="24"/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 t="s">
        <v>43</v>
      </c>
      <c r="H11" s="24" t="s">
        <v>43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7"/>
      <c r="AI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 t="s">
        <v>49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7"/>
      <c r="AF12" s="7"/>
      <c r="AG12" s="7"/>
      <c r="AH12" s="24"/>
      <c r="AI12" s="24"/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 t="s">
        <v>43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 t="s">
        <v>43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 t="s">
        <v>43</v>
      </c>
      <c r="F18" s="24"/>
      <c r="G18" s="24"/>
      <c r="H18" s="24"/>
      <c r="I18" s="24" t="s">
        <v>49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C21" s="24"/>
      <c r="AD21" s="24"/>
      <c r="AE21" s="24"/>
      <c r="AF21" s="24"/>
      <c r="AG21" s="24"/>
      <c r="AH21" s="24"/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customFormat="false" ht="15.75" hidden="false" customHeight="true" outlineLevel="0" collapsed="false">
      <c r="A23" s="37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customFormat="false" ht="15.75" hidden="false" customHeight="true" outlineLevel="0" collapsed="false">
      <c r="A24" s="38" t="n">
        <v>21</v>
      </c>
      <c r="B24" s="24" t="s">
        <v>209</v>
      </c>
      <c r="C24" s="24" t="s">
        <v>209</v>
      </c>
      <c r="D24" s="39" t="n">
        <v>1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24" t="s">
        <v>2740</v>
      </c>
      <c r="C29" s="24" t="n">
        <f aca="false">SUM(C30:C34)</f>
        <v>21</v>
      </c>
      <c r="D29" s="44" t="n">
        <f aca="false">C29*7</f>
        <v>147</v>
      </c>
      <c r="E29" s="24" t="n">
        <f aca="false">C29*31</f>
        <v>651</v>
      </c>
      <c r="G29" s="44"/>
      <c r="H29" s="47" t="n">
        <v>45566</v>
      </c>
      <c r="I29" s="44" t="s">
        <v>2787</v>
      </c>
      <c r="J29" s="44" t="s">
        <v>2788</v>
      </c>
      <c r="K29" s="44"/>
      <c r="L29" s="47" t="n">
        <v>45566</v>
      </c>
      <c r="M29" s="44" t="s">
        <v>2741</v>
      </c>
      <c r="N29" s="44" t="s">
        <v>2742</v>
      </c>
      <c r="Q29" s="36" t="s">
        <v>2740</v>
      </c>
      <c r="R29" s="24" t="n">
        <f aca="false">SUM(R30:R34)</f>
        <v>17</v>
      </c>
      <c r="S29" s="24" t="n">
        <f aca="false">R29*31</f>
        <v>527</v>
      </c>
      <c r="T29" s="24" t="n">
        <f aca="false">SUM(T30:T34)</f>
        <v>18</v>
      </c>
      <c r="U29" s="48" t="n">
        <f aca="false">T29/S29</f>
        <v>0.0341555977229602</v>
      </c>
    </row>
    <row r="30" customFormat="false" ht="15.75" hidden="false" customHeight="true" outlineLevel="0" collapsed="false">
      <c r="B30" s="24" t="s">
        <v>65</v>
      </c>
      <c r="C30" s="24" t="n">
        <f aca="false">COUNTIF($B$4:$B$24,B30)</f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2</v>
      </c>
      <c r="I30" s="24" t="n">
        <f aca="false">COUNTA(J4:P9)</f>
        <v>2</v>
      </c>
      <c r="J30" s="24" t="n">
        <f aca="false">COUNTA(E4:AI9)</f>
        <v>11</v>
      </c>
      <c r="K30" s="24" t="s">
        <v>65</v>
      </c>
      <c r="L30" s="24" t="n">
        <f aca="false">COUNTBLANK(E4:E9)</f>
        <v>4</v>
      </c>
      <c r="M30" s="24" t="n">
        <f aca="false">COUNTBLANK(J4:P9)</f>
        <v>40</v>
      </c>
      <c r="N30" s="49" t="n">
        <f aca="false">COUNTBLANK(E4:AI9)</f>
        <v>175</v>
      </c>
      <c r="O30" s="50" t="n">
        <f aca="false">J30+N30</f>
        <v>186</v>
      </c>
      <c r="Q30" s="24" t="s">
        <v>65</v>
      </c>
      <c r="R30" s="24" t="n">
        <v>6</v>
      </c>
      <c r="S30" s="24" t="n">
        <f aca="false">R30*31</f>
        <v>186</v>
      </c>
      <c r="T30" s="24" t="n">
        <f aca="false">J30</f>
        <v>11</v>
      </c>
      <c r="U30" s="48" t="n">
        <f aca="false">T30/S30</f>
        <v>0.0591397849462366</v>
      </c>
    </row>
    <row r="31" customFormat="false" ht="15.75" hidden="false" customHeight="true" outlineLevel="0" collapsed="false">
      <c r="B31" s="24" t="s">
        <v>60</v>
      </c>
      <c r="C31" s="24" t="n">
        <f aca="false">COUNTIF($B$4:$B$24,B31)</f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24" t="n">
        <f aca="false">COUNTA(E10:E13)</f>
        <v>1</v>
      </c>
      <c r="I31" s="24" t="n">
        <f aca="false">COUNTA(J10:P13)</f>
        <v>1</v>
      </c>
      <c r="J31" s="24" t="n">
        <f aca="false">COUNTA(E10:AI13)</f>
        <v>4</v>
      </c>
      <c r="K31" s="24" t="s">
        <v>60</v>
      </c>
      <c r="L31" s="49" t="n">
        <f aca="false">COUNTBLANK(E10:E13)</f>
        <v>3</v>
      </c>
      <c r="M31" s="24" t="n">
        <f aca="false">COUNTBLANK(J10:P13)</f>
        <v>27</v>
      </c>
      <c r="N31" s="24" t="n">
        <f aca="false">COUNTBLANK(E10:AI13)</f>
        <v>120</v>
      </c>
      <c r="O31" s="50" t="n">
        <f aca="false">J31+N31</f>
        <v>124</v>
      </c>
      <c r="Q31" s="24" t="s">
        <v>60</v>
      </c>
      <c r="R31" s="24" t="n">
        <v>4</v>
      </c>
      <c r="S31" s="24" t="n">
        <f aca="false">R31*31</f>
        <v>124</v>
      </c>
      <c r="T31" s="24" t="n">
        <f aca="false">J31</f>
        <v>4</v>
      </c>
      <c r="U31" s="48" t="n">
        <f aca="false">T31/S31</f>
        <v>0.032258064516129</v>
      </c>
    </row>
    <row r="32" customFormat="false" ht="15.75" hidden="false" customHeight="true" outlineLevel="0" collapsed="false">
      <c r="B32" s="24" t="s">
        <v>71</v>
      </c>
      <c r="C32" s="24" t="n">
        <f aca="false">COUNTIF($B$4:$B$24,B32)</f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24" t="n">
        <f aca="false">COUNTA(E14:E16)</f>
        <v>0</v>
      </c>
      <c r="I32" s="24" t="n">
        <f aca="false">COUNTA(J14:P16)</f>
        <v>0</v>
      </c>
      <c r="J32" s="24" t="n">
        <f aca="false">COUNTA(E14:AI16)</f>
        <v>0</v>
      </c>
      <c r="K32" s="24" t="s">
        <v>71</v>
      </c>
      <c r="L32" s="49" t="n">
        <f aca="false">COUNTBLANK(E14:E16)</f>
        <v>3</v>
      </c>
      <c r="M32" s="24" t="n">
        <f aca="false">COUNTBLANK(J14:P15)</f>
        <v>14</v>
      </c>
      <c r="N32" s="24" t="n">
        <f aca="false">COUNTBLANK(E14:AI15)</f>
        <v>62</v>
      </c>
      <c r="O32" s="50" t="n">
        <f aca="false">J32+N32</f>
        <v>62</v>
      </c>
      <c r="Q32" s="24" t="s">
        <v>71</v>
      </c>
      <c r="R32" s="24" t="n">
        <v>2</v>
      </c>
      <c r="S32" s="24" t="n">
        <f aca="false">R32*31</f>
        <v>62</v>
      </c>
      <c r="T32" s="24" t="n">
        <f aca="false">J32</f>
        <v>0</v>
      </c>
      <c r="U32" s="48" t="n">
        <f aca="false">T32/S32</f>
        <v>0</v>
      </c>
    </row>
    <row r="33" customFormat="false" ht="15.75" hidden="false" customHeight="true" outlineLevel="0" collapsed="false">
      <c r="B33" s="24" t="s">
        <v>31</v>
      </c>
      <c r="C33" s="24" t="n">
        <f aca="false">COUNTIF($B$4:$B$24,B33)</f>
        <v>7</v>
      </c>
      <c r="D33" s="44" t="n">
        <f aca="false">C33*7</f>
        <v>49</v>
      </c>
      <c r="E33" s="24" t="n">
        <f aca="false">C33*31</f>
        <v>217</v>
      </c>
      <c r="G33" s="24" t="s">
        <v>2743</v>
      </c>
      <c r="H33" s="24" t="n">
        <f aca="false">COUNTA(E17:E23)</f>
        <v>1</v>
      </c>
      <c r="I33" s="24" t="n">
        <f aca="false">COUNTA(J17:P23)</f>
        <v>0</v>
      </c>
      <c r="J33" s="24" t="n">
        <f aca="false">COUNTA(E17:AI23)</f>
        <v>3</v>
      </c>
      <c r="K33" s="24" t="s">
        <v>2743</v>
      </c>
      <c r="L33" s="49" t="n">
        <f aca="false">COUNTBLANK(E17:E23)</f>
        <v>6</v>
      </c>
      <c r="M33" s="24" t="n">
        <f aca="false">COUNTBLANK(J19:P22)</f>
        <v>28</v>
      </c>
      <c r="N33" s="24" t="n">
        <f aca="false">COUNTBLANK(E19:AI22)</f>
        <v>124</v>
      </c>
      <c r="O33" s="50" t="n">
        <f aca="false">J33+N33</f>
        <v>127</v>
      </c>
      <c r="Q33" s="51" t="s">
        <v>2743</v>
      </c>
      <c r="R33" s="51" t="n">
        <v>4</v>
      </c>
      <c r="S33" s="24" t="n">
        <f aca="false">R33*31</f>
        <v>124</v>
      </c>
      <c r="T33" s="24" t="n">
        <f aca="false">J33</f>
        <v>3</v>
      </c>
      <c r="U33" s="48" t="n">
        <f aca="false">T33/S33</f>
        <v>0.0241935483870968</v>
      </c>
    </row>
    <row r="34" customFormat="false" ht="15.75" hidden="false" customHeight="true" outlineLevel="0" collapsed="false">
      <c r="B34" s="24" t="s">
        <v>209</v>
      </c>
      <c r="C34" s="24" t="n">
        <f aca="false">COUNTIF($B$4:$B$24,B34)</f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f aca="false">COUNTA(E24)</f>
        <v>0</v>
      </c>
      <c r="I34" s="24" t="n">
        <f aca="false">COUNTA(J24)</f>
        <v>0</v>
      </c>
      <c r="J34" s="24" t="n">
        <f aca="false">COUNTA(E24)</f>
        <v>0</v>
      </c>
      <c r="K34" s="24" t="s">
        <v>2744</v>
      </c>
      <c r="L34" s="24" t="n">
        <f aca="false">COUNTBLANK(E24)</f>
        <v>1</v>
      </c>
      <c r="M34" s="24" t="n">
        <f aca="false">COUNTBLANK(J24:P24)</f>
        <v>7</v>
      </c>
      <c r="N34" s="24" t="n">
        <f aca="false">COUNTBLANK(E24:AI24)</f>
        <v>31</v>
      </c>
      <c r="O34" s="50" t="n">
        <f aca="false">J34+N34</f>
        <v>31</v>
      </c>
      <c r="Q34" s="24" t="s">
        <v>2744</v>
      </c>
      <c r="R34" s="24" t="n">
        <v>1</v>
      </c>
      <c r="S34" s="24" t="n">
        <f aca="false">R34*31</f>
        <v>31</v>
      </c>
      <c r="T34" s="24" t="n">
        <f aca="false">J34</f>
        <v>0</v>
      </c>
      <c r="U34" s="48" t="n">
        <f aca="false">T34/S34</f>
        <v>0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  <c r="M37" s="53" t="s">
        <v>2746</v>
      </c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5" t="s">
        <v>2737</v>
      </c>
      <c r="N38" s="54" t="s">
        <v>2749</v>
      </c>
      <c r="O38" s="54" t="s">
        <v>2750</v>
      </c>
      <c r="P38" s="54" t="s">
        <v>2751</v>
      </c>
      <c r="Q38" s="54" t="s">
        <v>2752</v>
      </c>
      <c r="R38" s="54" t="s">
        <v>2753</v>
      </c>
      <c r="S38" s="54" t="s">
        <v>2754</v>
      </c>
      <c r="T38" s="54" t="s">
        <v>2755</v>
      </c>
      <c r="U38" s="54" t="s">
        <v>36</v>
      </c>
      <c r="V38" s="54" t="s">
        <v>2756</v>
      </c>
      <c r="W38" s="54" t="s">
        <v>2757</v>
      </c>
      <c r="X38" s="54" t="s">
        <v>2758</v>
      </c>
      <c r="Y38" s="43" t="s">
        <v>2759</v>
      </c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SUMPRODUCT(LEN($E$4:$AI$24)-LEN(SUBSTITUTE($E$4:$AI$24,B39,"")))/LEN(B39)</f>
        <v>0</v>
      </c>
      <c r="M39" s="56" t="s">
        <v>65</v>
      </c>
      <c r="N39" s="43" t="n">
        <f aca="false">E30</f>
        <v>186</v>
      </c>
      <c r="O39" s="24" t="n">
        <f aca="false">COUNTIF($E$4:$AI$9,O44)</f>
        <v>0</v>
      </c>
      <c r="P39" s="24" t="n">
        <f aca="false">COUNTIF($E$4:$AI$9,P44)</f>
        <v>0</v>
      </c>
      <c r="Q39" s="24" t="n">
        <f aca="false">COUNTIF($E$4:$AI$9,Q44)</f>
        <v>0</v>
      </c>
      <c r="R39" s="24" t="n">
        <f aca="false">COUNTIF($E$4:$AI$9,R44)</f>
        <v>8</v>
      </c>
      <c r="S39" s="24" t="n">
        <f aca="false">COUNTIF($E$4:$AI$9,S44)</f>
        <v>0</v>
      </c>
      <c r="T39" s="24" t="n">
        <f aca="false">COUNTIF($E$4:$AI$9,T44)</f>
        <v>0</v>
      </c>
      <c r="U39" s="24" t="n">
        <f aca="false">COUNTIF($E$4:$AI$9,U44)</f>
        <v>0</v>
      </c>
      <c r="V39" s="24" t="n">
        <f aca="false">COUNTIF($E$4:$AI$9,V44)</f>
        <v>0</v>
      </c>
      <c r="W39" s="24" t="n">
        <f aca="false">COUNTIF($E$4:$AI$9,W44)</f>
        <v>0</v>
      </c>
      <c r="X39" s="24" t="n">
        <f aca="false">COUNTIF($E$4:$AI$9,X44)</f>
        <v>0</v>
      </c>
      <c r="Y39" s="24" t="n">
        <f aca="false">COUNTIF($E$4:$AI$9,Y44)</f>
        <v>0</v>
      </c>
      <c r="Z39" s="50" t="n">
        <f aca="false">SUM(O39:Y39)</f>
        <v>8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SUMPRODUCT(LEN($E$4:$AI$24)-LEN(SUBSTITUTE($E$4:$AI$24,B40,"")))/LEN(B40)</f>
        <v>0</v>
      </c>
      <c r="M40" s="56" t="s">
        <v>60</v>
      </c>
      <c r="N40" s="43" t="n">
        <f aca="false">E31</f>
        <v>124</v>
      </c>
      <c r="O40" s="24" t="n">
        <f aca="false">COUNTIF($E$10:$AI$13,O44)</f>
        <v>0</v>
      </c>
      <c r="P40" s="24" t="n">
        <f aca="false">COUNTIF($E$10:$AI$13,P44)</f>
        <v>0</v>
      </c>
      <c r="Q40" s="24" t="n">
        <f aca="false">COUNTIF($E$10:$AI$13,Q44)</f>
        <v>0</v>
      </c>
      <c r="R40" s="24" t="n">
        <f aca="false">COUNTIF($E$10:$AI$13,R44)</f>
        <v>3</v>
      </c>
      <c r="S40" s="24" t="n">
        <f aca="false">COUNTIF($E$10:$AI$13,S44)</f>
        <v>0</v>
      </c>
      <c r="T40" s="24" t="n">
        <f aca="false">COUNTIF($E$10:$AI$13,T44)</f>
        <v>0</v>
      </c>
      <c r="U40" s="24" t="n">
        <f aca="false">COUNTIF($E$10:$AI$13,U44)</f>
        <v>0</v>
      </c>
      <c r="V40" s="24" t="n">
        <f aca="false">COUNTIF($E$10:$AI$13,V44)</f>
        <v>0</v>
      </c>
      <c r="W40" s="24" t="n">
        <f aca="false">COUNTIF($E$10:$AI$13,W44)</f>
        <v>0</v>
      </c>
      <c r="X40" s="24" t="n">
        <f aca="false">COUNTIF($E$10:$AI$13,X44)</f>
        <v>0</v>
      </c>
      <c r="Y40" s="24" t="n">
        <f aca="false">COUNTIF($E$10:$AI$13,Y44)</f>
        <v>0</v>
      </c>
      <c r="Z40" s="50" t="n">
        <f aca="false">SUM(O40:Y40)</f>
        <v>3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SUMPRODUCT(LEN($E$4:$AI$24)-LEN(SUBSTITUTE($E$4:$AI$24,B41,"")))/LEN(B41)</f>
        <v>0</v>
      </c>
      <c r="M41" s="56" t="s">
        <v>71</v>
      </c>
      <c r="N41" s="43" t="n">
        <f aca="false">E32</f>
        <v>93</v>
      </c>
      <c r="O41" s="24" t="n">
        <f aca="false">COUNTIF($E$14:$AH$15,O44)</f>
        <v>0</v>
      </c>
      <c r="P41" s="24" t="n">
        <f aca="false">COUNTIF($E$14:$AH$15,P44)</f>
        <v>0</v>
      </c>
      <c r="Q41" s="24" t="n">
        <f aca="false">COUNTIF($E$14:$AH$15,Q44)</f>
        <v>0</v>
      </c>
      <c r="R41" s="24" t="n">
        <f aca="false">COUNTIF($E$14:$AH$15,R44)</f>
        <v>0</v>
      </c>
      <c r="S41" s="24" t="n">
        <f aca="false">COUNTIF($E$14:$AH$15,S44)</f>
        <v>0</v>
      </c>
      <c r="T41" s="24" t="n">
        <f aca="false">COUNTIF($E$14:$AH$15,T44)</f>
        <v>0</v>
      </c>
      <c r="U41" s="24" t="n">
        <f aca="false">COUNTIF($E$14:$AH$15,U44)</f>
        <v>0</v>
      </c>
      <c r="V41" s="24" t="n">
        <f aca="false">COUNTIF($E$14:$AH$15,V44)</f>
        <v>0</v>
      </c>
      <c r="W41" s="24" t="n">
        <f aca="false">COUNTIF($E$14:$AH$15,W44)</f>
        <v>0</v>
      </c>
      <c r="X41" s="24" t="n">
        <f aca="false">COUNTIF($E$14:$AH$15,X44)</f>
        <v>0</v>
      </c>
      <c r="Y41" s="24" t="n">
        <f aca="false">COUNTIF($E$14:$AH$15,Y44)</f>
        <v>0</v>
      </c>
      <c r="Z41" s="50" t="n">
        <f aca="false">SUM(O41:Y41)</f>
        <v>0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SUMPRODUCT(LEN($E$4:$AI$24)-LEN(SUBSTITUTE($E$4:$AI$24,B42,"")))/LEN(B42)</f>
        <v>13</v>
      </c>
      <c r="M42" s="57" t="s">
        <v>2743</v>
      </c>
      <c r="N42" s="43" t="n">
        <f aca="false">E33</f>
        <v>217</v>
      </c>
      <c r="O42" s="24" t="n">
        <f aca="false">COUNTIF($E$19:$AI$22,O44)</f>
        <v>0</v>
      </c>
      <c r="P42" s="24" t="n">
        <f aca="false">COUNTIF($E$19:$AI$22,P44)</f>
        <v>0</v>
      </c>
      <c r="Q42" s="24" t="n">
        <f aca="false">COUNTIF($E$19:$AI$22,Q44)</f>
        <v>0</v>
      </c>
      <c r="R42" s="24" t="n">
        <f aca="false">COUNTIF($E$19:$AI$22,R44)</f>
        <v>0</v>
      </c>
      <c r="S42" s="24" t="n">
        <f aca="false">COUNTIF($E$19:$AI$22,S44)</f>
        <v>0</v>
      </c>
      <c r="T42" s="24" t="n">
        <f aca="false">COUNTIF($E$19:$AI$22,T44)</f>
        <v>0</v>
      </c>
      <c r="U42" s="24" t="n">
        <f aca="false">COUNTIF($E$19:$AI$22,U44)</f>
        <v>0</v>
      </c>
      <c r="V42" s="24" t="n">
        <f aca="false">COUNTIF($E$19:$AI$22,V44)</f>
        <v>0</v>
      </c>
      <c r="W42" s="24" t="n">
        <f aca="false">COUNTIF($E$19:$AI$22,W44)</f>
        <v>0</v>
      </c>
      <c r="X42" s="24" t="n">
        <f aca="false">COUNTIF($E$19:$AI$22,X44)</f>
        <v>0</v>
      </c>
      <c r="Y42" s="24" t="n">
        <f aca="false">COUNTIF($E$19:$AI$22,Y44)</f>
        <v>0</v>
      </c>
      <c r="Z42" s="50" t="n">
        <f aca="false">SUM(O42:Y42)</f>
        <v>0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SUMPRODUCT(LEN($E$4:$AI$24)-LEN(SUBSTITUTE($E$4:$AI$24,B43,"")))/LEN(B43)</f>
        <v>0</v>
      </c>
      <c r="M43" s="56" t="s">
        <v>2744</v>
      </c>
      <c r="N43" s="43" t="n">
        <f aca="false">E34</f>
        <v>31</v>
      </c>
      <c r="O43" s="24" t="n">
        <f aca="false">COUNTIF($E$24:$AI$24,O44)</f>
        <v>0</v>
      </c>
      <c r="P43" s="24" t="n">
        <f aca="false">COUNTIF($E$24:$AI$24,P44)</f>
        <v>0</v>
      </c>
      <c r="Q43" s="24" t="n">
        <f aca="false">COUNTIF($E$24:$AI$24,Q44)</f>
        <v>0</v>
      </c>
      <c r="R43" s="24" t="n">
        <f aca="false">COUNTIF($E$24:$AI$24,R44)</f>
        <v>0</v>
      </c>
      <c r="S43" s="24" t="n">
        <f aca="false">COUNTIF($E$24:$AI$24,S44)</f>
        <v>0</v>
      </c>
      <c r="T43" s="24" t="n">
        <f aca="false">COUNTIF($E$24:$AI$24,T44)</f>
        <v>0</v>
      </c>
      <c r="U43" s="24" t="n">
        <f aca="false">COUNTIF($E$24:$AI$24,U44)</f>
        <v>0</v>
      </c>
      <c r="V43" s="24" t="n">
        <f aca="false">COUNTIF($E$24:$AI$24,V44)</f>
        <v>0</v>
      </c>
      <c r="W43" s="24" t="n">
        <f aca="false">COUNTIF($E$24:$AI$24,W44)</f>
        <v>0</v>
      </c>
      <c r="X43" s="24" t="n">
        <f aca="false">COUNTIF($E$24:$AI$24,X44)</f>
        <v>0</v>
      </c>
      <c r="Y43" s="24" t="n">
        <f aca="false">COUNTIF($E$24:$AI$24,Y44)</f>
        <v>0</v>
      </c>
      <c r="Z43" s="50" t="n">
        <f aca="false">SUM(O43:Y43)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SUMPRODUCT(LEN($E$4:$AI$24)-LEN(SUBSTITUTE($E$4:$AI$24,B44,"")))/LEN(B44)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  <c r="Z44" s="50" t="n">
        <f aca="false">SUM(Z39:Z43)</f>
        <v>11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SUMPRODUCT(LEN($E$4:$AI$24)-LEN(SUBSTITUTE($E$4:$AI$24,B45,"")))/LEN(B45)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SUMPRODUCT(LEN($E$4:$AI$24)-LEN(SUBSTITUTE($E$4:$AI$24,B46,"")))/LEN(B46)</f>
        <v>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SUMPRODUCT(LEN($E$4:$AI$24)-LEN(SUBSTITUTE($E$4:$AI$24,B47,"")))/LEN(B47)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SUMPRODUCT(LEN($E$4:$AI$24)-LEN(SUBSTITUTE($E$4:$AI$24,B48,"")))/LEN(B48)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SUMPRODUCT(LEN($E$4:$AI$24)-LEN(SUBSTITUTE($E$4:$AI$24,B49,"")))/LEN(B49)</f>
        <v>0</v>
      </c>
    </row>
    <row r="50" customFormat="false" ht="15.75" hidden="false" customHeight="true" outlineLevel="0" collapsed="false">
      <c r="B50" s="24" t="s">
        <v>2770</v>
      </c>
      <c r="C50" s="24" t="s">
        <v>2770</v>
      </c>
      <c r="D50" s="18"/>
      <c r="G50" s="24" t="s">
        <v>2770</v>
      </c>
      <c r="H50" s="24"/>
      <c r="I50" s="24"/>
      <c r="J50" s="24" t="n">
        <f aca="false">SUMPRODUCT(LEN($E$4:$AI$24)-LEN(SUBSTITUTE($E$4:$AI$24,B50,"")))/LEN(B50)</f>
        <v>0</v>
      </c>
    </row>
    <row r="51" customFormat="false" ht="15.75" hidden="false" customHeight="true" outlineLevel="0" collapsed="false">
      <c r="B51" s="24" t="s">
        <v>49</v>
      </c>
      <c r="C51" s="24" t="s">
        <v>2773</v>
      </c>
      <c r="D51" s="18"/>
      <c r="G51" s="24" t="s">
        <v>2773</v>
      </c>
      <c r="H51" s="24"/>
      <c r="I51" s="24"/>
      <c r="J51" s="24" t="n">
        <f aca="false">SUMPRODUCT(LEN($E$4:$AI$24)-LEN(SUBSTITUTE($E$4:$AI$24,B51,"")))/LEN(B51)</f>
        <v>5</v>
      </c>
    </row>
    <row r="52" customFormat="false" ht="15.75" hidden="false" customHeight="true" outlineLevel="0" collapsed="false">
      <c r="B52" s="24" t="s">
        <v>113</v>
      </c>
      <c r="C52" s="24" t="s">
        <v>113</v>
      </c>
      <c r="D52" s="18"/>
      <c r="G52" s="24" t="s">
        <v>113</v>
      </c>
      <c r="H52" s="24"/>
      <c r="I52" s="24"/>
      <c r="J52" s="24" t="n">
        <f aca="false">SUMPRODUCT(LEN($E$4:$AI$24)-LEN(SUBSTITUTE($E$4:$AI$24,B52,"")))/LEN(B52)</f>
        <v>0</v>
      </c>
    </row>
    <row r="53" customFormat="false" ht="15.75" hidden="false" customHeight="true" outlineLevel="0" collapsed="false">
      <c r="B53" s="24" t="s">
        <v>222</v>
      </c>
      <c r="C53" s="24" t="s">
        <v>222</v>
      </c>
      <c r="D53" s="18"/>
      <c r="G53" s="24" t="s">
        <v>222</v>
      </c>
      <c r="H53" s="24"/>
      <c r="I53" s="24"/>
      <c r="J53" s="24" t="n">
        <f aca="false">SUMPRODUCT(LEN($E$4:$AI$24)-LEN(SUBSTITUTE($E$4:$AI$24,B53,"")))/LEN(B53)</f>
        <v>0</v>
      </c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7:Y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15"/>
    <col collapsed="false" customWidth="false" hidden="false" outlineLevel="0" max="6" min="2" style="1" width="14.51"/>
    <col collapsed="false" customWidth="true" hidden="false" outlineLevel="0" max="8" min="8" style="1" width="11.5"/>
    <col collapsed="false" customWidth="true" hidden="false" outlineLevel="0" max="9" min="9" style="1" width="8"/>
    <col collapsed="false" customWidth="true" hidden="false" outlineLevel="0" max="10" min="10" style="1" width="6.51"/>
    <col collapsed="false" customWidth="true" hidden="false" outlineLevel="0" max="11" min="11" style="1" width="6.83"/>
    <col collapsed="false" customWidth="true" hidden="false" outlineLevel="0" max="12" min="12" style="1" width="5"/>
    <col collapsed="false" customWidth="true" hidden="false" outlineLevel="0" max="13" min="13" style="1" width="8.5"/>
    <col collapsed="false" customWidth="true" hidden="false" outlineLevel="0" max="14" min="14" style="1" width="9.33"/>
    <col collapsed="false" customWidth="true" hidden="false" outlineLevel="0" max="15" min="15" style="1" width="7"/>
    <col collapsed="false" customWidth="true" hidden="false" outlineLevel="0" max="16" min="16" style="1" width="7.83"/>
    <col collapsed="false" customWidth="true" hidden="false" outlineLevel="0" max="17" min="17" style="1" width="9.16"/>
    <col collapsed="false" customWidth="true" hidden="false" outlineLevel="0" max="18" min="18" style="1" width="11.5"/>
    <col collapsed="false" customWidth="true" hidden="false" outlineLevel="0" max="19" min="19" style="1" width="5.83"/>
    <col collapsed="false" customWidth="true" hidden="false" outlineLevel="0" max="21" min="21" style="1" width="7.83"/>
    <col collapsed="false" customWidth="true" hidden="false" outlineLevel="0" max="25" min="25" style="1" width="12.5"/>
    <col collapsed="false" customWidth="true" hidden="false" outlineLevel="0" max="26" min="26" style="1" width="9.16"/>
    <col collapsed="false" customWidth="true" hidden="false" outlineLevel="0" max="27" min="27" style="1" width="10.51"/>
    <col collapsed="false" customWidth="true" hidden="false" outlineLevel="0" max="28" min="28" style="1" width="11.16"/>
  </cols>
  <sheetData>
    <row r="1" customFormat="false" ht="15" hidden="false" customHeight="false" outlineLevel="0" collapsed="false">
      <c r="A1" s="15" t="s">
        <v>2732</v>
      </c>
      <c r="B1" s="15"/>
      <c r="C1" s="15"/>
      <c r="D1" s="15"/>
      <c r="E1" s="15"/>
      <c r="G1" s="15" t="s">
        <v>2789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15" hidden="false" customHeight="false" outlineLevel="0" collapsed="false">
      <c r="A2" s="85" t="n">
        <v>45444</v>
      </c>
      <c r="B2" s="85"/>
      <c r="C2" s="85"/>
      <c r="D2" s="85"/>
      <c r="E2" s="85"/>
      <c r="U2" s="18"/>
      <c r="V2" s="44" t="s">
        <v>2790</v>
      </c>
      <c r="W2" s="44" t="s">
        <v>65</v>
      </c>
      <c r="X2" s="44"/>
      <c r="Y2" s="44" t="s">
        <v>60</v>
      </c>
      <c r="Z2" s="44"/>
      <c r="AA2" s="44" t="s">
        <v>71</v>
      </c>
      <c r="AB2" s="44"/>
      <c r="AC2" s="44" t="s">
        <v>2743</v>
      </c>
      <c r="AD2" s="44"/>
    </row>
    <row r="3" customFormat="false" ht="15" hidden="false" customHeight="false" outlineLevel="0" collapsed="false">
      <c r="A3" s="86" t="s">
        <v>2733</v>
      </c>
      <c r="B3" s="86" t="s">
        <v>2734</v>
      </c>
      <c r="C3" s="86" t="s">
        <v>2736</v>
      </c>
      <c r="D3" s="86" t="s">
        <v>2738</v>
      </c>
      <c r="E3" s="86" t="s">
        <v>2739</v>
      </c>
      <c r="G3" s="85" t="n">
        <v>45444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V3" s="87" t="n">
        <v>0.5167</v>
      </c>
      <c r="W3" s="87" t="n">
        <v>0.6611</v>
      </c>
      <c r="X3" s="87"/>
      <c r="Y3" s="87" t="n">
        <v>0.5667</v>
      </c>
      <c r="Z3" s="87"/>
      <c r="AA3" s="87" t="n">
        <v>0.3889</v>
      </c>
      <c r="AB3" s="87"/>
      <c r="AC3" s="87" t="n">
        <v>0.419</v>
      </c>
      <c r="AD3" s="87"/>
    </row>
    <row r="4" customFormat="false" ht="15" hidden="false" customHeight="false" outlineLevel="0" collapsed="false">
      <c r="A4" s="86" t="s">
        <v>2740</v>
      </c>
      <c r="B4" s="86" t="n">
        <v>20</v>
      </c>
      <c r="C4" s="86" t="n">
        <v>600</v>
      </c>
      <c r="D4" s="86" t="n">
        <v>310</v>
      </c>
      <c r="E4" s="88" t="n">
        <v>0.5167</v>
      </c>
      <c r="G4" s="24" t="s">
        <v>2737</v>
      </c>
      <c r="H4" s="24" t="s">
        <v>2749</v>
      </c>
      <c r="I4" s="24" t="s">
        <v>2750</v>
      </c>
      <c r="J4" s="24" t="s">
        <v>2751</v>
      </c>
      <c r="K4" s="24" t="s">
        <v>2752</v>
      </c>
      <c r="L4" s="24" t="s">
        <v>2753</v>
      </c>
      <c r="M4" s="24" t="s">
        <v>2754</v>
      </c>
      <c r="N4" s="24" t="s">
        <v>2755</v>
      </c>
      <c r="O4" s="24" t="s">
        <v>36</v>
      </c>
      <c r="P4" s="24" t="s">
        <v>2756</v>
      </c>
      <c r="Q4" s="24" t="s">
        <v>2757</v>
      </c>
      <c r="R4" s="24" t="s">
        <v>2758</v>
      </c>
      <c r="S4" s="24" t="s">
        <v>2759</v>
      </c>
      <c r="U4" s="18"/>
      <c r="V4" s="44" t="s">
        <v>2791</v>
      </c>
      <c r="W4" s="44" t="s">
        <v>2792</v>
      </c>
      <c r="X4" s="44" t="s">
        <v>2793</v>
      </c>
      <c r="Y4" s="44" t="s">
        <v>2794</v>
      </c>
      <c r="Z4" s="44" t="s">
        <v>2795</v>
      </c>
      <c r="AA4" s="44" t="s">
        <v>2796</v>
      </c>
      <c r="AB4" s="44" t="s">
        <v>2797</v>
      </c>
      <c r="AC4" s="44" t="s">
        <v>2798</v>
      </c>
      <c r="AD4" s="44" t="s">
        <v>2799</v>
      </c>
    </row>
    <row r="5" customFormat="false" ht="15" hidden="false" customHeight="false" outlineLevel="0" collapsed="false">
      <c r="A5" s="86" t="s">
        <v>65</v>
      </c>
      <c r="B5" s="86" t="n">
        <v>6</v>
      </c>
      <c r="C5" s="86" t="n">
        <v>180</v>
      </c>
      <c r="D5" s="86" t="n">
        <v>119</v>
      </c>
      <c r="E5" s="88" t="n">
        <v>0.6611</v>
      </c>
      <c r="G5" s="24" t="s">
        <v>65</v>
      </c>
      <c r="H5" s="24" t="n">
        <v>119</v>
      </c>
      <c r="I5" s="24" t="n">
        <v>0</v>
      </c>
      <c r="J5" s="24" t="n">
        <v>31</v>
      </c>
      <c r="K5" s="24" t="n">
        <v>2</v>
      </c>
      <c r="L5" s="24" t="n">
        <v>79</v>
      </c>
      <c r="M5" s="24" t="n">
        <v>7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U5" s="18"/>
      <c r="V5" s="44"/>
      <c r="W5" s="44" t="s">
        <v>2800</v>
      </c>
      <c r="X5" s="44"/>
      <c r="Y5" s="44" t="s">
        <v>2801</v>
      </c>
      <c r="Z5" s="44"/>
      <c r="AA5" s="44" t="s">
        <v>2802</v>
      </c>
      <c r="AB5" s="44" t="s">
        <v>2803</v>
      </c>
      <c r="AC5" s="44"/>
      <c r="AD5" s="44"/>
    </row>
    <row r="6" customFormat="false" ht="15" hidden="false" customHeight="false" outlineLevel="0" collapsed="false">
      <c r="A6" s="86" t="s">
        <v>60</v>
      </c>
      <c r="B6" s="86" t="n">
        <v>4</v>
      </c>
      <c r="C6" s="86" t="n">
        <v>120</v>
      </c>
      <c r="D6" s="86" t="n">
        <v>68</v>
      </c>
      <c r="E6" s="88" t="n">
        <v>0.5667</v>
      </c>
      <c r="G6" s="24" t="s">
        <v>60</v>
      </c>
      <c r="H6" s="24" t="n">
        <v>68</v>
      </c>
      <c r="I6" s="24" t="n">
        <v>6</v>
      </c>
      <c r="J6" s="24" t="n">
        <v>14</v>
      </c>
      <c r="K6" s="24" t="n">
        <v>0</v>
      </c>
      <c r="L6" s="24" t="n">
        <v>47</v>
      </c>
      <c r="M6" s="24" t="n">
        <v>1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0</v>
      </c>
      <c r="S6" s="24" t="n">
        <v>0</v>
      </c>
      <c r="U6" s="18"/>
    </row>
    <row r="7" customFormat="false" ht="15" hidden="false" customHeight="false" outlineLevel="0" collapsed="false">
      <c r="A7" s="86" t="s">
        <v>71</v>
      </c>
      <c r="B7" s="86" t="n">
        <v>3</v>
      </c>
      <c r="C7" s="86" t="n">
        <v>90</v>
      </c>
      <c r="D7" s="86" t="n">
        <v>35</v>
      </c>
      <c r="E7" s="88" t="n">
        <v>0.3889</v>
      </c>
      <c r="G7" s="24" t="s">
        <v>71</v>
      </c>
      <c r="H7" s="24" t="n">
        <v>35</v>
      </c>
      <c r="I7" s="24" t="n">
        <v>2</v>
      </c>
      <c r="J7" s="24" t="n">
        <v>5</v>
      </c>
      <c r="K7" s="24" t="n">
        <v>6</v>
      </c>
      <c r="L7" s="24" t="n">
        <v>19</v>
      </c>
      <c r="M7" s="24" t="n">
        <v>2</v>
      </c>
      <c r="N7" s="24" t="n">
        <v>1</v>
      </c>
      <c r="O7" s="24" t="n">
        <v>0</v>
      </c>
      <c r="P7" s="24" t="n">
        <v>0</v>
      </c>
      <c r="Q7" s="24" t="n">
        <v>0</v>
      </c>
      <c r="R7" s="24" t="n">
        <v>0</v>
      </c>
      <c r="S7" s="24" t="n">
        <v>0</v>
      </c>
      <c r="U7" s="18"/>
      <c r="V7" s="44" t="s">
        <v>2790</v>
      </c>
      <c r="W7" s="44" t="s">
        <v>65</v>
      </c>
      <c r="X7" s="44"/>
      <c r="Y7" s="44" t="s">
        <v>60</v>
      </c>
      <c r="Z7" s="44"/>
      <c r="AA7" s="44" t="s">
        <v>71</v>
      </c>
      <c r="AB7" s="44"/>
      <c r="AC7" s="44" t="s">
        <v>2743</v>
      </c>
      <c r="AD7" s="44"/>
    </row>
    <row r="8" customFormat="false" ht="15" hidden="false" customHeight="false" outlineLevel="0" collapsed="false">
      <c r="A8" s="86" t="s">
        <v>2743</v>
      </c>
      <c r="B8" s="86" t="n">
        <v>7</v>
      </c>
      <c r="C8" s="86" t="n">
        <v>210</v>
      </c>
      <c r="D8" s="86" t="n">
        <v>88</v>
      </c>
      <c r="E8" s="88" t="n">
        <v>0.419</v>
      </c>
      <c r="G8" s="24" t="s">
        <v>2743</v>
      </c>
      <c r="H8" s="24" t="n">
        <v>88</v>
      </c>
      <c r="I8" s="24" t="n">
        <v>0</v>
      </c>
      <c r="J8" s="24" t="n">
        <v>0</v>
      </c>
      <c r="K8" s="24" t="n">
        <v>19</v>
      </c>
      <c r="L8" s="24" t="n">
        <v>55</v>
      </c>
      <c r="M8" s="24" t="n">
        <v>14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U8" s="18"/>
      <c r="V8" s="87" t="n">
        <v>0.6774</v>
      </c>
      <c r="W8" s="87" t="n">
        <v>0.8656</v>
      </c>
      <c r="X8" s="87"/>
      <c r="Y8" s="87" t="n">
        <v>0.7177</v>
      </c>
      <c r="Z8" s="87"/>
      <c r="AA8" s="87" t="n">
        <v>0.5806</v>
      </c>
      <c r="AB8" s="87"/>
      <c r="AC8" s="87" t="n">
        <v>0.6313</v>
      </c>
      <c r="AD8" s="87"/>
    </row>
    <row r="9" customFormat="false" ht="15" hidden="false" customHeight="false" outlineLevel="0" collapsed="false">
      <c r="U9" s="18"/>
      <c r="V9" s="24" t="s">
        <v>2804</v>
      </c>
      <c r="W9" s="44" t="s">
        <v>2805</v>
      </c>
      <c r="X9" s="44" t="s">
        <v>2806</v>
      </c>
      <c r="Y9" s="44" t="s">
        <v>2807</v>
      </c>
      <c r="Z9" s="44" t="s">
        <v>2808</v>
      </c>
      <c r="AA9" s="44" t="s">
        <v>2809</v>
      </c>
      <c r="AB9" s="44" t="s">
        <v>2810</v>
      </c>
      <c r="AC9" s="44" t="s">
        <v>2811</v>
      </c>
      <c r="AD9" s="44" t="s">
        <v>2812</v>
      </c>
    </row>
    <row r="10" customFormat="false" ht="15" hidden="false" customHeight="false" outlineLevel="0" collapsed="false">
      <c r="A10" s="89" t="n">
        <v>45474</v>
      </c>
      <c r="B10" s="89"/>
      <c r="C10" s="89"/>
      <c r="D10" s="89"/>
      <c r="E10" s="89"/>
      <c r="G10" s="89" t="n">
        <v>45474</v>
      </c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U10" s="18"/>
      <c r="V10" s="24"/>
      <c r="W10" s="44" t="s">
        <v>2813</v>
      </c>
      <c r="X10" s="44" t="s">
        <v>2814</v>
      </c>
      <c r="Y10" s="44" t="s">
        <v>2815</v>
      </c>
      <c r="Z10" s="44" t="s">
        <v>2816</v>
      </c>
      <c r="AA10" s="44" t="s">
        <v>2817</v>
      </c>
      <c r="AB10" s="44" t="s">
        <v>2814</v>
      </c>
      <c r="AC10" s="44" t="s">
        <v>2818</v>
      </c>
      <c r="AD10" s="44" t="s">
        <v>2819</v>
      </c>
    </row>
    <row r="11" customFormat="false" ht="15" hidden="false" customHeight="false" outlineLevel="0" collapsed="false">
      <c r="A11" s="25" t="s">
        <v>2733</v>
      </c>
      <c r="B11" s="25" t="s">
        <v>2734</v>
      </c>
      <c r="C11" s="25" t="s">
        <v>2736</v>
      </c>
      <c r="D11" s="25" t="s">
        <v>2738</v>
      </c>
      <c r="E11" s="25" t="s">
        <v>2739</v>
      </c>
      <c r="G11" s="24" t="s">
        <v>2737</v>
      </c>
      <c r="H11" s="24" t="s">
        <v>2749</v>
      </c>
      <c r="I11" s="24" t="s">
        <v>2750</v>
      </c>
      <c r="J11" s="24" t="s">
        <v>2751</v>
      </c>
      <c r="K11" s="24" t="s">
        <v>2752</v>
      </c>
      <c r="L11" s="24" t="s">
        <v>2753</v>
      </c>
      <c r="M11" s="24" t="s">
        <v>2754</v>
      </c>
      <c r="N11" s="24" t="s">
        <v>2755</v>
      </c>
      <c r="O11" s="24" t="s">
        <v>36</v>
      </c>
      <c r="P11" s="24" t="s">
        <v>2756</v>
      </c>
      <c r="Q11" s="24" t="s">
        <v>2757</v>
      </c>
      <c r="R11" s="24" t="s">
        <v>2758</v>
      </c>
      <c r="S11" s="24" t="s">
        <v>2759</v>
      </c>
      <c r="U11" s="18"/>
      <c r="W11" s="50"/>
      <c r="Y11" s="50"/>
      <c r="AA11" s="50"/>
      <c r="AC11" s="50"/>
    </row>
    <row r="12" customFormat="false" ht="15" hidden="false" customHeight="false" outlineLevel="0" collapsed="false">
      <c r="A12" s="25" t="s">
        <v>2740</v>
      </c>
      <c r="B12" s="25" t="n">
        <v>20</v>
      </c>
      <c r="C12" s="25" t="n">
        <v>651</v>
      </c>
      <c r="D12" s="25" t="n">
        <v>441</v>
      </c>
      <c r="E12" s="90" t="n">
        <v>0.6774</v>
      </c>
      <c r="G12" s="24" t="s">
        <v>65</v>
      </c>
      <c r="H12" s="24" t="n">
        <v>161</v>
      </c>
      <c r="I12" s="24" t="n">
        <v>3</v>
      </c>
      <c r="J12" s="24" t="n">
        <v>42</v>
      </c>
      <c r="K12" s="24" t="n">
        <v>4</v>
      </c>
      <c r="L12" s="24" t="n">
        <v>108</v>
      </c>
      <c r="M12" s="24" t="n">
        <v>2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2</v>
      </c>
      <c r="S12" s="24" t="n">
        <v>0</v>
      </c>
      <c r="U12" s="18"/>
      <c r="V12" s="44" t="s">
        <v>2790</v>
      </c>
      <c r="W12" s="44" t="s">
        <v>65</v>
      </c>
      <c r="X12" s="44"/>
      <c r="Y12" s="44" t="s">
        <v>60</v>
      </c>
      <c r="Z12" s="44"/>
      <c r="AA12" s="44" t="s">
        <v>71</v>
      </c>
      <c r="AB12" s="44"/>
      <c r="AC12" s="44" t="s">
        <v>2743</v>
      </c>
      <c r="AD12" s="44"/>
    </row>
    <row r="13" customFormat="false" ht="15" hidden="false" customHeight="false" outlineLevel="0" collapsed="false">
      <c r="A13" s="25" t="s">
        <v>65</v>
      </c>
      <c r="B13" s="25" t="n">
        <v>6</v>
      </c>
      <c r="C13" s="25" t="n">
        <v>186</v>
      </c>
      <c r="D13" s="25" t="n">
        <v>161</v>
      </c>
      <c r="E13" s="90" t="n">
        <v>0.8656</v>
      </c>
      <c r="G13" s="24" t="s">
        <v>60</v>
      </c>
      <c r="H13" s="24" t="n">
        <v>89</v>
      </c>
      <c r="I13" s="24" t="n">
        <v>6</v>
      </c>
      <c r="J13" s="24" t="n">
        <v>5</v>
      </c>
      <c r="K13" s="24" t="n">
        <v>9</v>
      </c>
      <c r="L13" s="24" t="n">
        <v>66</v>
      </c>
      <c r="M13" s="24" t="n">
        <v>0</v>
      </c>
      <c r="N13" s="24" t="n">
        <v>0</v>
      </c>
      <c r="O13" s="24" t="n">
        <v>0</v>
      </c>
      <c r="P13" s="24" t="n">
        <v>3</v>
      </c>
      <c r="Q13" s="24" t="n">
        <v>0</v>
      </c>
      <c r="R13" s="24" t="n">
        <v>0</v>
      </c>
      <c r="S13" s="24" t="n">
        <v>0</v>
      </c>
      <c r="U13" s="18"/>
      <c r="V13" s="91" t="n">
        <v>0.4363</v>
      </c>
      <c r="W13" s="91" t="n">
        <v>0.6022</v>
      </c>
      <c r="X13" s="91"/>
      <c r="Y13" s="91" t="n">
        <v>0.4355</v>
      </c>
      <c r="Z13" s="91"/>
      <c r="AA13" s="91" t="n">
        <v>0.4731</v>
      </c>
      <c r="AB13" s="91"/>
      <c r="AC13" s="91" t="n">
        <v>0.341</v>
      </c>
      <c r="AD13" s="91"/>
    </row>
    <row r="14" customFormat="false" ht="15" hidden="false" customHeight="false" outlineLevel="0" collapsed="false">
      <c r="A14" s="25" t="s">
        <v>60</v>
      </c>
      <c r="B14" s="25" t="n">
        <v>4</v>
      </c>
      <c r="C14" s="25" t="n">
        <v>124</v>
      </c>
      <c r="D14" s="25" t="n">
        <v>89</v>
      </c>
      <c r="E14" s="90" t="n">
        <v>0.7177</v>
      </c>
      <c r="G14" s="24" t="s">
        <v>71</v>
      </c>
      <c r="H14" s="24" t="n">
        <v>54</v>
      </c>
      <c r="I14" s="24" t="n">
        <v>3</v>
      </c>
      <c r="J14" s="24" t="n">
        <v>3</v>
      </c>
      <c r="K14" s="24" t="n">
        <v>3</v>
      </c>
      <c r="L14" s="24" t="n">
        <v>37</v>
      </c>
      <c r="M14" s="24" t="n">
        <v>7</v>
      </c>
      <c r="N14" s="24" t="n">
        <v>0</v>
      </c>
      <c r="O14" s="24" t="n">
        <v>0</v>
      </c>
      <c r="P14" s="24" t="n">
        <v>0</v>
      </c>
      <c r="Q14" s="24" t="n">
        <v>0</v>
      </c>
      <c r="R14" s="24" t="n">
        <v>0</v>
      </c>
      <c r="S14" s="24" t="n">
        <v>0</v>
      </c>
      <c r="U14" s="18"/>
      <c r="V14" s="24" t="s">
        <v>2820</v>
      </c>
      <c r="W14" s="44" t="s">
        <v>2821</v>
      </c>
      <c r="X14" s="44" t="s">
        <v>2822</v>
      </c>
      <c r="Y14" s="44" t="s">
        <v>2809</v>
      </c>
      <c r="Z14" s="44" t="s">
        <v>2823</v>
      </c>
      <c r="AA14" s="44" t="s">
        <v>2824</v>
      </c>
      <c r="AB14" s="44" t="s">
        <v>2825</v>
      </c>
      <c r="AC14" s="44" t="s">
        <v>2826</v>
      </c>
      <c r="AD14" s="44" t="s">
        <v>2825</v>
      </c>
    </row>
    <row r="15" customFormat="false" ht="15" hidden="false" customHeight="false" outlineLevel="0" collapsed="false">
      <c r="A15" s="25" t="s">
        <v>71</v>
      </c>
      <c r="B15" s="25" t="n">
        <v>3</v>
      </c>
      <c r="C15" s="25" t="n">
        <v>93</v>
      </c>
      <c r="D15" s="25" t="n">
        <v>54</v>
      </c>
      <c r="E15" s="90" t="n">
        <v>0.5806</v>
      </c>
      <c r="G15" s="24" t="s">
        <v>2743</v>
      </c>
      <c r="H15" s="24" t="n">
        <v>137</v>
      </c>
      <c r="I15" s="24" t="n">
        <v>1</v>
      </c>
      <c r="J15" s="24" t="n">
        <v>12</v>
      </c>
      <c r="K15" s="24" t="n">
        <v>5</v>
      </c>
      <c r="L15" s="24" t="n">
        <v>118</v>
      </c>
      <c r="M15" s="24" t="n">
        <v>1</v>
      </c>
      <c r="N15" s="24" t="n">
        <v>0</v>
      </c>
      <c r="O15" s="24" t="n">
        <v>0</v>
      </c>
      <c r="P15" s="24" t="n">
        <v>0</v>
      </c>
      <c r="Q15" s="24" t="n">
        <v>0</v>
      </c>
      <c r="R15" s="24" t="n">
        <v>0</v>
      </c>
      <c r="S15" s="24" t="n">
        <v>0</v>
      </c>
      <c r="U15" s="18"/>
      <c r="V15" s="24"/>
      <c r="W15" s="44" t="s">
        <v>2817</v>
      </c>
      <c r="X15" s="44" t="s">
        <v>2827</v>
      </c>
      <c r="Y15" s="44" t="s">
        <v>2828</v>
      </c>
      <c r="Z15" s="44" t="s">
        <v>2819</v>
      </c>
      <c r="AA15" s="44" t="s">
        <v>2829</v>
      </c>
      <c r="AB15" s="44" t="s">
        <v>2830</v>
      </c>
      <c r="AC15" s="44" t="s">
        <v>2818</v>
      </c>
      <c r="AD15" s="44" t="s">
        <v>2814</v>
      </c>
    </row>
    <row r="16" customFormat="false" ht="15" hidden="false" customHeight="false" outlineLevel="0" collapsed="false">
      <c r="A16" s="25" t="s">
        <v>2743</v>
      </c>
      <c r="B16" s="25" t="n">
        <v>7</v>
      </c>
      <c r="C16" s="25" t="n">
        <v>217</v>
      </c>
      <c r="D16" s="25" t="n">
        <v>137</v>
      </c>
      <c r="E16" s="90" t="n">
        <v>0.6313</v>
      </c>
      <c r="U16" s="18"/>
      <c r="V16" s="44"/>
      <c r="W16" s="44"/>
      <c r="X16" s="44"/>
      <c r="Y16" s="44"/>
      <c r="Z16" s="44"/>
      <c r="AA16" s="44"/>
      <c r="AB16" s="44"/>
      <c r="AC16" s="44" t="s">
        <v>2831</v>
      </c>
      <c r="AD16" s="44"/>
    </row>
    <row r="17" customFormat="false" ht="15" hidden="false" customHeight="false" outlineLevel="0" collapsed="false">
      <c r="U17" s="18"/>
    </row>
    <row r="18" customFormat="false" ht="15" hidden="false" customHeight="false" outlineLevel="0" collapsed="false">
      <c r="A18" s="92" t="n">
        <v>45505</v>
      </c>
      <c r="B18" s="92"/>
      <c r="C18" s="92"/>
      <c r="D18" s="92"/>
      <c r="E18" s="92"/>
      <c r="G18" s="92" t="n">
        <v>45505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U18" s="18"/>
      <c r="V18" s="93" t="s">
        <v>2790</v>
      </c>
      <c r="W18" s="93" t="s">
        <v>65</v>
      </c>
      <c r="X18" s="93"/>
      <c r="Y18" s="93" t="s">
        <v>60</v>
      </c>
      <c r="Z18" s="93"/>
      <c r="AA18" s="93" t="s">
        <v>71</v>
      </c>
      <c r="AB18" s="93"/>
      <c r="AC18" s="93" t="s">
        <v>2743</v>
      </c>
      <c r="AD18" s="93"/>
    </row>
    <row r="19" customFormat="false" ht="15" hidden="false" customHeight="false" outlineLevel="0" collapsed="false">
      <c r="A19" s="36" t="s">
        <v>2733</v>
      </c>
      <c r="B19" s="36" t="s">
        <v>2734</v>
      </c>
      <c r="C19" s="36" t="s">
        <v>2736</v>
      </c>
      <c r="D19" s="36" t="s">
        <v>2738</v>
      </c>
      <c r="E19" s="36" t="s">
        <v>2739</v>
      </c>
      <c r="G19" s="24" t="s">
        <v>2737</v>
      </c>
      <c r="H19" s="24" t="s">
        <v>2749</v>
      </c>
      <c r="I19" s="24" t="s">
        <v>2750</v>
      </c>
      <c r="J19" s="24" t="s">
        <v>2751</v>
      </c>
      <c r="K19" s="24" t="s">
        <v>2752</v>
      </c>
      <c r="L19" s="24" t="s">
        <v>2753</v>
      </c>
      <c r="M19" s="24" t="s">
        <v>2754</v>
      </c>
      <c r="N19" s="24" t="s">
        <v>2755</v>
      </c>
      <c r="O19" s="24" t="s">
        <v>36</v>
      </c>
      <c r="P19" s="24" t="s">
        <v>2756</v>
      </c>
      <c r="Q19" s="24" t="s">
        <v>2757</v>
      </c>
      <c r="R19" s="24" t="s">
        <v>2758</v>
      </c>
      <c r="S19" s="24" t="s">
        <v>2759</v>
      </c>
      <c r="U19" s="18"/>
      <c r="V19" s="91" t="n">
        <v>0.4286</v>
      </c>
      <c r="W19" s="91" t="n">
        <v>0.5944</v>
      </c>
      <c r="X19" s="91"/>
      <c r="Y19" s="91" t="n">
        <v>0.4167</v>
      </c>
      <c r="Z19" s="91"/>
      <c r="AA19" s="91" t="n">
        <v>0.3556</v>
      </c>
      <c r="AB19" s="91"/>
      <c r="AC19" s="91" t="n">
        <v>0.3857</v>
      </c>
      <c r="AD19" s="91"/>
    </row>
    <row r="20" customFormat="false" ht="15" hidden="false" customHeight="false" outlineLevel="0" collapsed="false">
      <c r="A20" s="36" t="s">
        <v>2740</v>
      </c>
      <c r="B20" s="36" t="n">
        <v>20</v>
      </c>
      <c r="C20" s="36" t="n">
        <v>651</v>
      </c>
      <c r="D20" s="36" t="n">
        <v>284</v>
      </c>
      <c r="E20" s="94" t="n">
        <v>0.4363</v>
      </c>
      <c r="G20" s="24" t="s">
        <v>65</v>
      </c>
      <c r="H20" s="24" t="n">
        <v>112</v>
      </c>
      <c r="I20" s="24" t="n">
        <v>7</v>
      </c>
      <c r="J20" s="24" t="n">
        <v>14</v>
      </c>
      <c r="K20" s="24" t="n">
        <v>3</v>
      </c>
      <c r="L20" s="24" t="n">
        <v>88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0</v>
      </c>
      <c r="U20" s="18"/>
      <c r="V20" s="38" t="s">
        <v>2832</v>
      </c>
      <c r="W20" s="93" t="s">
        <v>2833</v>
      </c>
      <c r="X20" s="93" t="s">
        <v>2810</v>
      </c>
      <c r="Y20" s="93" t="s">
        <v>2834</v>
      </c>
      <c r="Z20" s="93" t="s">
        <v>2835</v>
      </c>
      <c r="AA20" s="93" t="s">
        <v>2836</v>
      </c>
      <c r="AB20" s="93" t="s">
        <v>2835</v>
      </c>
      <c r="AC20" s="93" t="s">
        <v>2837</v>
      </c>
      <c r="AD20" s="93" t="s">
        <v>2838</v>
      </c>
    </row>
    <row r="21" customFormat="false" ht="15.75" hidden="false" customHeight="true" outlineLevel="0" collapsed="false">
      <c r="A21" s="36" t="s">
        <v>65</v>
      </c>
      <c r="B21" s="36" t="n">
        <v>6</v>
      </c>
      <c r="C21" s="36" t="n">
        <v>186</v>
      </c>
      <c r="D21" s="36" t="n">
        <v>112</v>
      </c>
      <c r="E21" s="94" t="n">
        <v>0.6022</v>
      </c>
      <c r="G21" s="24" t="s">
        <v>60</v>
      </c>
      <c r="H21" s="24" t="n">
        <v>54</v>
      </c>
      <c r="I21" s="24" t="n">
        <v>1</v>
      </c>
      <c r="J21" s="24" t="n">
        <v>2</v>
      </c>
      <c r="K21" s="24" t="n">
        <v>7</v>
      </c>
      <c r="L21" s="24" t="n">
        <v>44</v>
      </c>
      <c r="M21" s="24" t="n">
        <v>0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0</v>
      </c>
      <c r="U21" s="18"/>
      <c r="V21" s="38"/>
      <c r="W21" s="93" t="s">
        <v>2839</v>
      </c>
      <c r="X21" s="93" t="s">
        <v>2840</v>
      </c>
      <c r="Y21" s="93" t="s">
        <v>2841</v>
      </c>
      <c r="Z21" s="93" t="s">
        <v>2827</v>
      </c>
      <c r="AA21" s="93" t="s">
        <v>2839</v>
      </c>
      <c r="AB21" s="93" t="s">
        <v>2842</v>
      </c>
      <c r="AC21" s="93" t="s">
        <v>2843</v>
      </c>
      <c r="AD21" s="93" t="s">
        <v>2844</v>
      </c>
    </row>
    <row r="22" customFormat="false" ht="15.75" hidden="false" customHeight="true" outlineLevel="0" collapsed="false">
      <c r="A22" s="36" t="s">
        <v>60</v>
      </c>
      <c r="B22" s="36" t="n">
        <v>4</v>
      </c>
      <c r="C22" s="36" t="n">
        <v>124</v>
      </c>
      <c r="D22" s="36" t="n">
        <v>54</v>
      </c>
      <c r="E22" s="94" t="n">
        <v>0.4355</v>
      </c>
      <c r="G22" s="24" t="s">
        <v>71</v>
      </c>
      <c r="H22" s="24" t="n">
        <v>44</v>
      </c>
      <c r="I22" s="24" t="n">
        <v>0</v>
      </c>
      <c r="J22" s="24" t="n">
        <v>4</v>
      </c>
      <c r="K22" s="24" t="n">
        <v>0</v>
      </c>
      <c r="L22" s="24" t="n">
        <v>35</v>
      </c>
      <c r="M22" s="24" t="n">
        <v>0</v>
      </c>
      <c r="N22" s="24" t="n">
        <v>0</v>
      </c>
      <c r="O22" s="24" t="n">
        <v>0</v>
      </c>
      <c r="P22" s="24" t="n">
        <v>2</v>
      </c>
      <c r="Q22" s="24" t="n">
        <v>0</v>
      </c>
      <c r="R22" s="24" t="n">
        <v>0</v>
      </c>
      <c r="S22" s="24" t="n">
        <v>3</v>
      </c>
      <c r="U22" s="18"/>
      <c r="V22" s="93"/>
      <c r="W22" s="93" t="s">
        <v>2845</v>
      </c>
      <c r="X22" s="93" t="s">
        <v>2846</v>
      </c>
      <c r="Y22" s="93" t="s">
        <v>2845</v>
      </c>
      <c r="Z22" s="93"/>
      <c r="AA22" s="93" t="s">
        <v>2847</v>
      </c>
      <c r="AB22" s="93"/>
      <c r="AC22" s="93" t="s">
        <v>2848</v>
      </c>
      <c r="AD22" s="93"/>
    </row>
    <row r="23" customFormat="false" ht="15.75" hidden="false" customHeight="true" outlineLevel="0" collapsed="false">
      <c r="A23" s="36" t="s">
        <v>71</v>
      </c>
      <c r="B23" s="36" t="n">
        <v>3</v>
      </c>
      <c r="C23" s="36" t="n">
        <v>93</v>
      </c>
      <c r="D23" s="36" t="n">
        <v>44</v>
      </c>
      <c r="E23" s="94" t="n">
        <v>0.4731</v>
      </c>
      <c r="G23" s="24" t="s">
        <v>2743</v>
      </c>
      <c r="H23" s="24" t="n">
        <v>86</v>
      </c>
      <c r="I23" s="24" t="n">
        <v>3</v>
      </c>
      <c r="J23" s="24" t="n">
        <v>4</v>
      </c>
      <c r="K23" s="24" t="n">
        <v>5</v>
      </c>
      <c r="L23" s="24" t="n">
        <v>52</v>
      </c>
      <c r="M23" s="24" t="n">
        <v>0</v>
      </c>
      <c r="N23" s="24" t="n">
        <v>0</v>
      </c>
      <c r="O23" s="24" t="n">
        <v>0</v>
      </c>
      <c r="P23" s="24" t="n">
        <v>10</v>
      </c>
      <c r="Q23" s="24" t="n">
        <v>0</v>
      </c>
      <c r="R23" s="24" t="n">
        <v>0</v>
      </c>
      <c r="S23" s="24" t="n">
        <v>0</v>
      </c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customFormat="false" ht="15.75" hidden="false" customHeight="true" outlineLevel="0" collapsed="false">
      <c r="A24" s="36" t="s">
        <v>2743</v>
      </c>
      <c r="B24" s="36" t="n">
        <v>7</v>
      </c>
      <c r="C24" s="36" t="n">
        <v>217</v>
      </c>
      <c r="D24" s="36" t="n">
        <v>74</v>
      </c>
      <c r="E24" s="94" t="n">
        <v>0.341</v>
      </c>
      <c r="U24" s="18"/>
      <c r="V24" s="93" t="s">
        <v>2790</v>
      </c>
      <c r="W24" s="93" t="s">
        <v>65</v>
      </c>
      <c r="X24" s="93"/>
      <c r="Y24" s="93" t="s">
        <v>60</v>
      </c>
      <c r="Z24" s="93"/>
      <c r="AA24" s="93" t="s">
        <v>71</v>
      </c>
      <c r="AB24" s="93"/>
      <c r="AC24" s="93" t="s">
        <v>2743</v>
      </c>
      <c r="AD24" s="93"/>
    </row>
    <row r="25" customFormat="false" ht="15.75" hidden="false" customHeight="true" outlineLevel="0" collapsed="false">
      <c r="U25" s="18"/>
      <c r="V25" s="91" t="n">
        <v>0.1783</v>
      </c>
      <c r="W25" s="91" t="n">
        <v>0.2634</v>
      </c>
      <c r="X25" s="91"/>
      <c r="Y25" s="91" t="n">
        <v>0.1694</v>
      </c>
      <c r="Z25" s="91"/>
      <c r="AA25" s="91" t="n">
        <v>0.086</v>
      </c>
      <c r="AB25" s="91"/>
      <c r="AC25" s="91" t="n">
        <v>0.1452</v>
      </c>
      <c r="AD25" s="91"/>
    </row>
    <row r="26" customFormat="false" ht="15.75" hidden="false" customHeight="true" outlineLevel="0" collapsed="false">
      <c r="A26" s="95" t="n">
        <v>45536</v>
      </c>
      <c r="B26" s="95"/>
      <c r="C26" s="95"/>
      <c r="D26" s="95"/>
      <c r="E26" s="95"/>
      <c r="G26" s="95" t="n">
        <v>45536</v>
      </c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U26" s="18"/>
      <c r="V26" s="38" t="s">
        <v>2849</v>
      </c>
      <c r="W26" s="93" t="s">
        <v>2850</v>
      </c>
      <c r="X26" s="93" t="s">
        <v>2835</v>
      </c>
      <c r="Y26" s="93" t="s">
        <v>2851</v>
      </c>
      <c r="Z26" s="93" t="s">
        <v>2835</v>
      </c>
      <c r="AA26" s="93" t="s">
        <v>2852</v>
      </c>
      <c r="AB26" s="93" t="s">
        <v>2838</v>
      </c>
      <c r="AC26" s="93" t="s">
        <v>2853</v>
      </c>
      <c r="AD26" s="93" t="s">
        <v>2838</v>
      </c>
    </row>
    <row r="27" customFormat="false" ht="15.75" hidden="false" customHeight="true" outlineLevel="0" collapsed="false">
      <c r="A27" s="96" t="s">
        <v>2733</v>
      </c>
      <c r="B27" s="96" t="s">
        <v>2734</v>
      </c>
      <c r="C27" s="96" t="s">
        <v>2736</v>
      </c>
      <c r="D27" s="96" t="s">
        <v>2738</v>
      </c>
      <c r="E27" s="96" t="s">
        <v>2739</v>
      </c>
      <c r="G27" s="24" t="s">
        <v>2737</v>
      </c>
      <c r="H27" s="24" t="s">
        <v>2749</v>
      </c>
      <c r="I27" s="24" t="s">
        <v>2750</v>
      </c>
      <c r="J27" s="24" t="s">
        <v>2751</v>
      </c>
      <c r="K27" s="24" t="s">
        <v>2752</v>
      </c>
      <c r="L27" s="24" t="s">
        <v>2753</v>
      </c>
      <c r="M27" s="24" t="s">
        <v>2754</v>
      </c>
      <c r="N27" s="24" t="s">
        <v>2755</v>
      </c>
      <c r="O27" s="24" t="s">
        <v>36</v>
      </c>
      <c r="P27" s="24" t="s">
        <v>2756</v>
      </c>
      <c r="Q27" s="24" t="s">
        <v>2757</v>
      </c>
      <c r="R27" s="24" t="s">
        <v>2758</v>
      </c>
      <c r="S27" s="24" t="s">
        <v>2759</v>
      </c>
      <c r="U27" s="18"/>
      <c r="V27" s="38"/>
      <c r="W27" s="93" t="s">
        <v>2839</v>
      </c>
      <c r="X27" s="93" t="s">
        <v>2844</v>
      </c>
      <c r="Y27" s="93" t="s">
        <v>2841</v>
      </c>
      <c r="Z27" s="93" t="s">
        <v>2844</v>
      </c>
      <c r="AA27" s="93" t="s">
        <v>2817</v>
      </c>
      <c r="AB27" s="93" t="s">
        <v>2854</v>
      </c>
      <c r="AC27" s="93" t="s">
        <v>2817</v>
      </c>
      <c r="AD27" s="93" t="s">
        <v>2844</v>
      </c>
    </row>
    <row r="28" customFormat="false" ht="15.75" hidden="false" customHeight="true" outlineLevel="0" collapsed="false">
      <c r="A28" s="96" t="s">
        <v>2740</v>
      </c>
      <c r="B28" s="96" t="n">
        <v>20</v>
      </c>
      <c r="C28" s="96" t="n">
        <v>630</v>
      </c>
      <c r="D28" s="96" t="n">
        <v>270</v>
      </c>
      <c r="E28" s="97" t="n">
        <v>0.4286</v>
      </c>
      <c r="G28" s="24" t="s">
        <v>65</v>
      </c>
      <c r="H28" s="24" t="n">
        <v>107</v>
      </c>
      <c r="I28" s="24" t="n">
        <v>22</v>
      </c>
      <c r="J28" s="24" t="n">
        <v>3</v>
      </c>
      <c r="K28" s="24" t="n">
        <v>1</v>
      </c>
      <c r="L28" s="24" t="n">
        <v>68</v>
      </c>
      <c r="M28" s="24" t="n">
        <v>6</v>
      </c>
      <c r="N28" s="24" t="n">
        <v>0</v>
      </c>
      <c r="O28" s="24" t="n">
        <v>0</v>
      </c>
      <c r="P28" s="24" t="n">
        <v>5</v>
      </c>
      <c r="Q28" s="24" t="n">
        <v>0</v>
      </c>
      <c r="R28" s="24" t="n">
        <v>1</v>
      </c>
      <c r="S28" s="24" t="n">
        <v>1</v>
      </c>
      <c r="U28" s="18"/>
      <c r="V28" s="93"/>
      <c r="W28" s="93" t="s">
        <v>2855</v>
      </c>
      <c r="X28" s="93"/>
      <c r="Y28" s="93"/>
      <c r="Z28" s="93"/>
      <c r="AA28" s="93" t="s">
        <v>2830</v>
      </c>
      <c r="AB28" s="93"/>
      <c r="AC28" s="93"/>
      <c r="AD28" s="93"/>
    </row>
    <row r="29" customFormat="false" ht="15.75" hidden="false" customHeight="true" outlineLevel="0" collapsed="false">
      <c r="A29" s="96" t="s">
        <v>65</v>
      </c>
      <c r="B29" s="96" t="n">
        <v>6</v>
      </c>
      <c r="C29" s="96" t="n">
        <v>180</v>
      </c>
      <c r="D29" s="96" t="n">
        <v>107</v>
      </c>
      <c r="E29" s="97" t="n">
        <v>0.5944</v>
      </c>
      <c r="G29" s="24" t="s">
        <v>60</v>
      </c>
      <c r="H29" s="24" t="n">
        <v>50</v>
      </c>
      <c r="I29" s="24" t="n">
        <v>7</v>
      </c>
      <c r="J29" s="24" t="n">
        <v>1</v>
      </c>
      <c r="K29" s="24" t="n">
        <v>0</v>
      </c>
      <c r="L29" s="24" t="n">
        <v>37</v>
      </c>
      <c r="M29" s="24" t="n">
        <v>0</v>
      </c>
      <c r="N29" s="24" t="n">
        <v>0</v>
      </c>
      <c r="O29" s="24" t="n">
        <v>0</v>
      </c>
      <c r="P29" s="24" t="n">
        <v>5</v>
      </c>
      <c r="Q29" s="24" t="n">
        <v>0</v>
      </c>
      <c r="R29" s="24" t="n">
        <v>0</v>
      </c>
      <c r="S29" s="24" t="n">
        <v>0</v>
      </c>
      <c r="U29" s="18"/>
    </row>
    <row r="30" customFormat="false" ht="15.75" hidden="false" customHeight="true" outlineLevel="0" collapsed="false">
      <c r="A30" s="96" t="s">
        <v>60</v>
      </c>
      <c r="B30" s="96" t="n">
        <v>4</v>
      </c>
      <c r="C30" s="96" t="n">
        <v>120</v>
      </c>
      <c r="D30" s="96" t="n">
        <v>50</v>
      </c>
      <c r="E30" s="97" t="n">
        <v>0.4167</v>
      </c>
      <c r="G30" s="24" t="s">
        <v>71</v>
      </c>
      <c r="H30" s="24" t="n">
        <v>32</v>
      </c>
      <c r="I30" s="24" t="n">
        <v>4</v>
      </c>
      <c r="J30" s="24" t="n">
        <v>1</v>
      </c>
      <c r="K30" s="24" t="n">
        <v>1</v>
      </c>
      <c r="L30" s="24" t="n">
        <v>19</v>
      </c>
      <c r="M30" s="24" t="n">
        <v>0</v>
      </c>
      <c r="N30" s="24" t="n">
        <v>0</v>
      </c>
      <c r="O30" s="24" t="n">
        <v>0</v>
      </c>
      <c r="P30" s="24" t="n">
        <v>4</v>
      </c>
      <c r="Q30" s="24" t="n">
        <v>0</v>
      </c>
      <c r="R30" s="24" t="n">
        <v>0</v>
      </c>
      <c r="S30" s="24" t="n">
        <v>0</v>
      </c>
      <c r="U30" s="18"/>
    </row>
    <row r="31" customFormat="false" ht="15.75" hidden="false" customHeight="true" outlineLevel="0" collapsed="false">
      <c r="A31" s="96" t="s">
        <v>71</v>
      </c>
      <c r="B31" s="96" t="n">
        <v>3</v>
      </c>
      <c r="C31" s="96" t="n">
        <v>90</v>
      </c>
      <c r="D31" s="96" t="n">
        <v>32</v>
      </c>
      <c r="E31" s="97" t="n">
        <v>0.3556</v>
      </c>
      <c r="G31" s="24" t="s">
        <v>2743</v>
      </c>
      <c r="H31" s="24" t="n">
        <v>81</v>
      </c>
      <c r="I31" s="24" t="n">
        <v>9</v>
      </c>
      <c r="J31" s="24" t="n">
        <v>0</v>
      </c>
      <c r="K31" s="24" t="n">
        <v>13</v>
      </c>
      <c r="L31" s="24" t="n">
        <v>53</v>
      </c>
      <c r="M31" s="24" t="n">
        <v>0</v>
      </c>
      <c r="N31" s="24" t="n">
        <v>0</v>
      </c>
      <c r="O31" s="24" t="n">
        <v>0</v>
      </c>
      <c r="P31" s="24" t="n">
        <v>6</v>
      </c>
      <c r="Q31" s="24" t="n">
        <v>0</v>
      </c>
      <c r="R31" s="24" t="n">
        <v>0</v>
      </c>
      <c r="S31" s="24" t="n">
        <v>0</v>
      </c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customFormat="false" ht="15.75" hidden="false" customHeight="true" outlineLevel="0" collapsed="false">
      <c r="A32" s="96" t="s">
        <v>2743</v>
      </c>
      <c r="B32" s="96" t="n">
        <v>7</v>
      </c>
      <c r="C32" s="96" t="n">
        <v>210</v>
      </c>
      <c r="D32" s="96" t="n">
        <v>81</v>
      </c>
      <c r="E32" s="97" t="n">
        <v>0.3857</v>
      </c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customFormat="false" ht="15.75" hidden="false" customHeight="true" outlineLevel="0" collapsed="false"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customFormat="false" ht="15.75" hidden="false" customHeight="true" outlineLevel="0" collapsed="false">
      <c r="A34" s="98" t="n">
        <v>45566</v>
      </c>
      <c r="B34" s="98"/>
      <c r="C34" s="98"/>
      <c r="D34" s="98"/>
      <c r="E34" s="98"/>
      <c r="G34" s="99" t="n">
        <v>45566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U34" s="18"/>
    </row>
    <row r="35" customFormat="false" ht="15.75" hidden="false" customHeight="true" outlineLevel="0" collapsed="false">
      <c r="A35" s="100" t="s">
        <v>2733</v>
      </c>
      <c r="B35" s="100" t="s">
        <v>2734</v>
      </c>
      <c r="C35" s="100" t="s">
        <v>2736</v>
      </c>
      <c r="D35" s="100" t="s">
        <v>2738</v>
      </c>
      <c r="E35" s="100" t="s">
        <v>2739</v>
      </c>
      <c r="G35" s="24" t="s">
        <v>2737</v>
      </c>
      <c r="H35" s="24" t="s">
        <v>2749</v>
      </c>
      <c r="I35" s="24" t="s">
        <v>2750</v>
      </c>
      <c r="J35" s="24" t="s">
        <v>2751</v>
      </c>
      <c r="K35" s="24" t="s">
        <v>2752</v>
      </c>
      <c r="L35" s="24" t="s">
        <v>2753</v>
      </c>
      <c r="M35" s="24" t="s">
        <v>2754</v>
      </c>
      <c r="N35" s="24" t="s">
        <v>2755</v>
      </c>
      <c r="O35" s="24" t="s">
        <v>36</v>
      </c>
      <c r="P35" s="24" t="s">
        <v>2756</v>
      </c>
      <c r="Q35" s="24" t="s">
        <v>2757</v>
      </c>
      <c r="R35" s="24" t="s">
        <v>2758</v>
      </c>
      <c r="S35" s="24" t="s">
        <v>2759</v>
      </c>
      <c r="U35" s="18"/>
    </row>
    <row r="36" customFormat="false" ht="15.75" hidden="false" customHeight="true" outlineLevel="0" collapsed="false">
      <c r="A36" s="100" t="s">
        <v>2740</v>
      </c>
      <c r="B36" s="100" t="n">
        <v>19</v>
      </c>
      <c r="C36" s="100" t="n">
        <v>589</v>
      </c>
      <c r="D36" s="100" t="n">
        <v>105</v>
      </c>
      <c r="E36" s="101" t="n">
        <v>0.1783</v>
      </c>
      <c r="G36" s="24" t="s">
        <v>65</v>
      </c>
      <c r="H36" s="24" t="n">
        <v>49</v>
      </c>
      <c r="I36" s="24" t="n">
        <v>9</v>
      </c>
      <c r="J36" s="24" t="n">
        <v>1</v>
      </c>
      <c r="K36" s="24" t="n">
        <v>1</v>
      </c>
      <c r="L36" s="24" t="n">
        <v>29</v>
      </c>
      <c r="M36" s="24" t="n">
        <v>1</v>
      </c>
      <c r="N36" s="24" t="n">
        <v>0</v>
      </c>
      <c r="O36" s="24" t="n">
        <v>0</v>
      </c>
      <c r="P36" s="24" t="n">
        <v>8</v>
      </c>
      <c r="Q36" s="24" t="n">
        <v>0</v>
      </c>
      <c r="R36" s="24" t="n">
        <v>0</v>
      </c>
      <c r="S36" s="24" t="n">
        <v>0</v>
      </c>
      <c r="U36" s="18"/>
    </row>
    <row r="37" customFormat="false" ht="15.75" hidden="false" customHeight="true" outlineLevel="0" collapsed="false">
      <c r="A37" s="100" t="s">
        <v>65</v>
      </c>
      <c r="B37" s="100" t="n">
        <v>6</v>
      </c>
      <c r="C37" s="100" t="n">
        <v>186</v>
      </c>
      <c r="D37" s="100" t="n">
        <v>49</v>
      </c>
      <c r="E37" s="101" t="n">
        <v>0.2634</v>
      </c>
      <c r="G37" s="24" t="s">
        <v>60</v>
      </c>
      <c r="H37" s="24" t="n">
        <v>21</v>
      </c>
      <c r="I37" s="24" t="n">
        <v>9</v>
      </c>
      <c r="J37" s="24" t="n">
        <v>1</v>
      </c>
      <c r="K37" s="24" t="n">
        <v>0</v>
      </c>
      <c r="L37" s="24" t="n">
        <v>11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U37" s="18"/>
    </row>
    <row r="38" customFormat="false" ht="15.75" hidden="false" customHeight="true" outlineLevel="0" collapsed="false">
      <c r="A38" s="100" t="s">
        <v>60</v>
      </c>
      <c r="B38" s="100" t="n">
        <v>4</v>
      </c>
      <c r="C38" s="100" t="n">
        <v>124</v>
      </c>
      <c r="D38" s="100" t="n">
        <v>21</v>
      </c>
      <c r="E38" s="101" t="n">
        <v>0.1694</v>
      </c>
      <c r="G38" s="24" t="s">
        <v>71</v>
      </c>
      <c r="H38" s="24" t="n">
        <v>8</v>
      </c>
      <c r="I38" s="24" t="n">
        <v>0</v>
      </c>
      <c r="J38" s="24" t="n">
        <v>0</v>
      </c>
      <c r="K38" s="24" t="n">
        <v>3</v>
      </c>
      <c r="L38" s="24" t="n">
        <v>3</v>
      </c>
      <c r="M38" s="24" t="n">
        <v>0</v>
      </c>
      <c r="N38" s="24" t="n">
        <v>0</v>
      </c>
      <c r="O38" s="24" t="n">
        <v>0</v>
      </c>
      <c r="P38" s="24" t="n">
        <v>2</v>
      </c>
      <c r="Q38" s="24" t="n">
        <v>0</v>
      </c>
      <c r="R38" s="24" t="n">
        <v>0</v>
      </c>
      <c r="S38" s="24" t="n">
        <v>0</v>
      </c>
      <c r="U38" s="18"/>
    </row>
    <row r="39" customFormat="false" ht="15.75" hidden="false" customHeight="true" outlineLevel="0" collapsed="false">
      <c r="A39" s="100" t="s">
        <v>71</v>
      </c>
      <c r="B39" s="100" t="n">
        <v>3</v>
      </c>
      <c r="C39" s="100" t="n">
        <v>93</v>
      </c>
      <c r="D39" s="100" t="n">
        <v>8</v>
      </c>
      <c r="E39" s="101" t="n">
        <v>0.086</v>
      </c>
      <c r="G39" s="24" t="s">
        <v>2743</v>
      </c>
      <c r="H39" s="24" t="n">
        <v>27</v>
      </c>
      <c r="I39" s="24" t="n">
        <v>9</v>
      </c>
      <c r="J39" s="24" t="n">
        <v>0</v>
      </c>
      <c r="K39" s="24" t="n">
        <v>3</v>
      </c>
      <c r="L39" s="24" t="n">
        <v>15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</v>
      </c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customFormat="false" ht="15.75" hidden="false" customHeight="true" outlineLevel="0" collapsed="false">
      <c r="A40" s="100" t="s">
        <v>2743</v>
      </c>
      <c r="B40" s="100" t="n">
        <v>6</v>
      </c>
      <c r="C40" s="100" t="n">
        <v>186</v>
      </c>
      <c r="D40" s="100" t="n">
        <v>27</v>
      </c>
      <c r="E40" s="101" t="n">
        <v>0.1452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customFormat="false" ht="15.75" hidden="false" customHeight="true" outlineLevel="0" collapsed="false"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customFormat="false" ht="15.75" hidden="false" customHeight="true" outlineLevel="0" collapsed="false"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customFormat="false" ht="15.75" hidden="false" customHeight="true" outlineLevel="0" collapsed="false"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customFormat="false" ht="15.75" hidden="false" customHeight="true" outlineLevel="0" collapsed="false"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customFormat="false" ht="15.75" hidden="false" customHeight="true" outlineLevel="0" collapsed="false"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customFormat="false" ht="15.75" hidden="false" customHeight="true" outlineLevel="0" collapsed="false"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customFormat="false" ht="15.75" hidden="false" customHeight="true" outlineLevel="0" collapsed="false"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customFormat="false" ht="15.75" hidden="false" customHeight="true" outlineLevel="0" collapsed="false"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customFormat="false" ht="15.75" hidden="false" customHeight="true" outlineLevel="0" collapsed="false"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customFormat="false" ht="15.75" hidden="false" customHeight="true" outlineLevel="0" collapsed="false"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customFormat="false" ht="15.75" hidden="false" customHeight="true" outlineLevel="0" collapsed="false"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2">
    <mergeCell ref="A1:E1"/>
    <mergeCell ref="G1:S1"/>
    <mergeCell ref="A2:E2"/>
    <mergeCell ref="W2:X2"/>
    <mergeCell ref="Y2:Z2"/>
    <mergeCell ref="AA2:AB2"/>
    <mergeCell ref="AC2:AD2"/>
    <mergeCell ref="G3:S3"/>
    <mergeCell ref="W3:X3"/>
    <mergeCell ref="Y3:Z3"/>
    <mergeCell ref="AA3:AB3"/>
    <mergeCell ref="AC3:AD3"/>
    <mergeCell ref="W7:X7"/>
    <mergeCell ref="Y7:Z7"/>
    <mergeCell ref="AA7:AB7"/>
    <mergeCell ref="AC7:AD7"/>
    <mergeCell ref="W8:X8"/>
    <mergeCell ref="Y8:Z8"/>
    <mergeCell ref="AA8:AB8"/>
    <mergeCell ref="AC8:AD8"/>
    <mergeCell ref="A10:E10"/>
    <mergeCell ref="G10:S10"/>
    <mergeCell ref="W12:X12"/>
    <mergeCell ref="Y12:Z12"/>
    <mergeCell ref="AA12:AB12"/>
    <mergeCell ref="AC12:AD12"/>
    <mergeCell ref="W13:X13"/>
    <mergeCell ref="Y13:Z13"/>
    <mergeCell ref="AA13:AB13"/>
    <mergeCell ref="AC13:AD13"/>
    <mergeCell ref="A18:E18"/>
    <mergeCell ref="G18:S18"/>
    <mergeCell ref="W18:X18"/>
    <mergeCell ref="Y18:Z18"/>
    <mergeCell ref="AA18:AB18"/>
    <mergeCell ref="AC18:AD18"/>
    <mergeCell ref="W19:X19"/>
    <mergeCell ref="Y19:Z19"/>
    <mergeCell ref="AA19:AB19"/>
    <mergeCell ref="AC19:AD19"/>
    <mergeCell ref="W24:X24"/>
    <mergeCell ref="Y24:Z24"/>
    <mergeCell ref="AA24:AB24"/>
    <mergeCell ref="AC24:AD24"/>
    <mergeCell ref="W25:X25"/>
    <mergeCell ref="Y25:Z25"/>
    <mergeCell ref="AA25:AB25"/>
    <mergeCell ref="AC25:AD25"/>
    <mergeCell ref="A26:E26"/>
    <mergeCell ref="G26:S26"/>
    <mergeCell ref="A34:E34"/>
    <mergeCell ref="G34:S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5" zeroHeight="false" outlineLevelRow="0" outlineLevelCol="0"/>
  <sheetData>
    <row r="3" customFormat="false" ht="15" hidden="false" customHeight="false" outlineLevel="0" collapsed="false">
      <c r="B3" s="25" t="s">
        <v>43</v>
      </c>
      <c r="C3" s="50" t="s">
        <v>2856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20" min="17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2715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2716</v>
      </c>
      <c r="F2" s="15" t="s">
        <v>2717</v>
      </c>
      <c r="G2" s="15" t="s">
        <v>2718</v>
      </c>
      <c r="H2" s="16" t="s">
        <v>2719</v>
      </c>
      <c r="I2" s="16" t="s">
        <v>2720</v>
      </c>
      <c r="J2" s="15" t="s">
        <v>2721</v>
      </c>
      <c r="K2" s="15" t="s">
        <v>2722</v>
      </c>
      <c r="L2" s="15" t="s">
        <v>2716</v>
      </c>
      <c r="M2" s="15" t="s">
        <v>2717</v>
      </c>
      <c r="N2" s="15" t="s">
        <v>2718</v>
      </c>
      <c r="O2" s="16" t="s">
        <v>2719</v>
      </c>
      <c r="P2" s="16" t="s">
        <v>2720</v>
      </c>
      <c r="Q2" s="15" t="s">
        <v>2721</v>
      </c>
      <c r="R2" s="15" t="s">
        <v>2722</v>
      </c>
      <c r="S2" s="15" t="s">
        <v>2716</v>
      </c>
      <c r="T2" s="15" t="s">
        <v>2717</v>
      </c>
      <c r="U2" s="15" t="s">
        <v>2718</v>
      </c>
      <c r="V2" s="16" t="s">
        <v>2719</v>
      </c>
      <c r="W2" s="16" t="s">
        <v>2720</v>
      </c>
      <c r="X2" s="15" t="s">
        <v>2721</v>
      </c>
      <c r="Y2" s="15" t="s">
        <v>2722</v>
      </c>
      <c r="Z2" s="15" t="s">
        <v>2716</v>
      </c>
      <c r="AA2" s="15" t="s">
        <v>2717</v>
      </c>
      <c r="AB2" s="15" t="s">
        <v>2718</v>
      </c>
      <c r="AC2" s="16" t="s">
        <v>2719</v>
      </c>
      <c r="AD2" s="16" t="s">
        <v>2720</v>
      </c>
      <c r="AE2" s="15" t="s">
        <v>2721</v>
      </c>
      <c r="AF2" s="15" t="s">
        <v>2722</v>
      </c>
      <c r="AG2" s="15" t="s">
        <v>2716</v>
      </c>
      <c r="AH2" s="15" t="s">
        <v>2717</v>
      </c>
      <c r="AI2" s="15" t="s">
        <v>2718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45413</v>
      </c>
      <c r="F3" s="19" t="n">
        <v>45414</v>
      </c>
      <c r="G3" s="19" t="n">
        <v>45415</v>
      </c>
      <c r="H3" s="19" t="n">
        <v>45416</v>
      </c>
      <c r="I3" s="19" t="n">
        <v>45417</v>
      </c>
      <c r="J3" s="19" t="n">
        <v>45418</v>
      </c>
      <c r="K3" s="19" t="n">
        <v>45419</v>
      </c>
      <c r="L3" s="19" t="n">
        <v>45420</v>
      </c>
      <c r="M3" s="19" t="n">
        <v>45421</v>
      </c>
      <c r="N3" s="19" t="n">
        <v>45422</v>
      </c>
      <c r="O3" s="19" t="n">
        <v>45423</v>
      </c>
      <c r="P3" s="19" t="n">
        <v>45424</v>
      </c>
      <c r="Q3" s="19" t="n">
        <v>45425</v>
      </c>
      <c r="R3" s="19" t="n">
        <v>45426</v>
      </c>
      <c r="S3" s="19" t="n">
        <v>45427</v>
      </c>
      <c r="T3" s="19" t="n">
        <v>45428</v>
      </c>
      <c r="U3" s="19" t="n">
        <v>45429</v>
      </c>
      <c r="V3" s="19" t="n">
        <v>45430</v>
      </c>
      <c r="W3" s="19" t="n">
        <v>45431</v>
      </c>
      <c r="X3" s="19" t="n">
        <v>45432</v>
      </c>
      <c r="Y3" s="19" t="n">
        <v>45433</v>
      </c>
      <c r="Z3" s="19" t="n">
        <v>45434</v>
      </c>
      <c r="AA3" s="19" t="n">
        <v>45435</v>
      </c>
      <c r="AB3" s="19" t="n">
        <v>45436</v>
      </c>
      <c r="AC3" s="19" t="n">
        <v>45437</v>
      </c>
      <c r="AD3" s="19" t="n">
        <v>45438</v>
      </c>
      <c r="AE3" s="19" t="n">
        <v>45439</v>
      </c>
      <c r="AF3" s="19" t="n">
        <v>45440</v>
      </c>
      <c r="AG3" s="19" t="n">
        <v>45441</v>
      </c>
      <c r="AH3" s="19" t="n">
        <v>45442</v>
      </c>
      <c r="AI3" s="19" t="n">
        <v>45443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 t="s">
        <v>43</v>
      </c>
      <c r="AG4" s="24"/>
      <c r="AH4" s="25" t="s">
        <v>43</v>
      </c>
      <c r="AI4" s="24" t="s">
        <v>43</v>
      </c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 t="s">
        <v>43</v>
      </c>
      <c r="AD5" s="24"/>
      <c r="AE5" s="24"/>
      <c r="AF5" s="24" t="s">
        <v>43</v>
      </c>
      <c r="AG5" s="24" t="s">
        <v>43</v>
      </c>
      <c r="AH5" s="24" t="s">
        <v>43</v>
      </c>
      <c r="AI5" s="24" t="s">
        <v>43</v>
      </c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 t="s">
        <v>2762</v>
      </c>
      <c r="AD6" s="24" t="s">
        <v>43</v>
      </c>
      <c r="AE6" s="24" t="s">
        <v>43</v>
      </c>
      <c r="AF6" s="24" t="s">
        <v>43</v>
      </c>
      <c r="AG6" s="24" t="s">
        <v>43</v>
      </c>
      <c r="AH6" s="24" t="s">
        <v>43</v>
      </c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43</v>
      </c>
      <c r="AD7" s="24" t="s">
        <v>43</v>
      </c>
      <c r="AE7" s="24" t="s">
        <v>43</v>
      </c>
      <c r="AF7" s="24" t="s">
        <v>43</v>
      </c>
      <c r="AG7" s="24" t="s">
        <v>2762</v>
      </c>
      <c r="AH7" s="24" t="s">
        <v>2762</v>
      </c>
      <c r="AI7" s="24" t="s">
        <v>2762</v>
      </c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2763</v>
      </c>
      <c r="AD8" s="24" t="s">
        <v>2763</v>
      </c>
      <c r="AE8" s="24" t="s">
        <v>2763</v>
      </c>
      <c r="AF8" s="24" t="s">
        <v>2763</v>
      </c>
      <c r="AG8" s="24" t="s">
        <v>2763</v>
      </c>
      <c r="AH8" s="24"/>
      <c r="AI8" s="24"/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 t="s">
        <v>2763</v>
      </c>
      <c r="AD9" s="36" t="s">
        <v>43</v>
      </c>
      <c r="AE9" s="36" t="s">
        <v>43</v>
      </c>
      <c r="AF9" s="24" t="s">
        <v>43</v>
      </c>
      <c r="AG9" s="24" t="s">
        <v>43</v>
      </c>
      <c r="AH9" s="24" t="s">
        <v>43</v>
      </c>
      <c r="AI9" s="24"/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 t="s">
        <v>43</v>
      </c>
      <c r="AG10" s="24" t="s">
        <v>43</v>
      </c>
      <c r="AH10" s="25" t="s">
        <v>43</v>
      </c>
      <c r="AI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 t="s">
        <v>43</v>
      </c>
      <c r="AG11" s="24" t="s">
        <v>43</v>
      </c>
      <c r="AH11" s="24" t="s">
        <v>2763</v>
      </c>
      <c r="AI11" s="24" t="s">
        <v>2763</v>
      </c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 t="s">
        <v>43</v>
      </c>
      <c r="AD12" s="24"/>
      <c r="AE12" s="24" t="s">
        <v>2763</v>
      </c>
      <c r="AF12" s="24" t="s">
        <v>2763</v>
      </c>
      <c r="AG12" s="24" t="s">
        <v>2763</v>
      </c>
      <c r="AH12" s="24"/>
      <c r="AI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 t="s">
        <v>43</v>
      </c>
      <c r="AD13" s="24" t="s">
        <v>43</v>
      </c>
      <c r="AE13" s="29" t="s">
        <v>43</v>
      </c>
      <c r="AF13" s="29" t="s">
        <v>43</v>
      </c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 t="s">
        <v>43</v>
      </c>
      <c r="AD14" s="24"/>
      <c r="AE14" s="29" t="s">
        <v>43</v>
      </c>
      <c r="AF14" s="29" t="s">
        <v>43</v>
      </c>
      <c r="AG14" s="24"/>
      <c r="AH14" s="24"/>
      <c r="AI14" s="24"/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 t="s">
        <v>43</v>
      </c>
      <c r="AC15" s="24" t="s">
        <v>43</v>
      </c>
      <c r="AD15" s="24" t="s">
        <v>2762</v>
      </c>
      <c r="AE15" s="29" t="s">
        <v>43</v>
      </c>
      <c r="AF15" s="29" t="s">
        <v>43</v>
      </c>
      <c r="AG15" s="24"/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 t="s">
        <v>43</v>
      </c>
      <c r="AC19" s="24" t="s">
        <v>43</v>
      </c>
      <c r="AD19" s="24"/>
      <c r="AE19" s="24" t="s">
        <v>2727</v>
      </c>
      <c r="AF19" s="24" t="s">
        <v>43</v>
      </c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 t="s">
        <v>2762</v>
      </c>
      <c r="AC20" s="24" t="s">
        <v>2763</v>
      </c>
      <c r="AD20" s="24"/>
      <c r="AE20" s="24"/>
      <c r="AF20" s="24" t="s">
        <v>2762</v>
      </c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 t="s">
        <v>43</v>
      </c>
      <c r="AA21" s="24"/>
      <c r="AC21" s="24"/>
      <c r="AD21" s="24"/>
      <c r="AE21" s="24"/>
      <c r="AF21" s="24" t="s">
        <v>2762</v>
      </c>
      <c r="AG21" s="24"/>
      <c r="AH21" s="24"/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36" t="s">
        <v>43</v>
      </c>
      <c r="AE22" s="24"/>
      <c r="AF22" s="24"/>
      <c r="AG22" s="24"/>
      <c r="AH22" s="24"/>
      <c r="AI22" s="24" t="s">
        <v>2764</v>
      </c>
    </row>
    <row r="23" customFormat="false" ht="15.75" hidden="false" customHeight="true" outlineLevel="0" collapsed="false">
      <c r="A23" s="33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customFormat="false" ht="15.75" hidden="false" customHeight="true" outlineLevel="0" collapsed="false">
      <c r="A24" s="38" t="n">
        <v>21</v>
      </c>
      <c r="B24" s="50" t="s">
        <v>209</v>
      </c>
      <c r="C24" s="50" t="s">
        <v>209</v>
      </c>
      <c r="D24" s="23" t="n">
        <v>1</v>
      </c>
      <c r="E24" s="24" t="s">
        <v>2729</v>
      </c>
      <c r="F24" s="24" t="s">
        <v>2729</v>
      </c>
      <c r="G24" s="24" t="s">
        <v>2729</v>
      </c>
      <c r="H24" s="24" t="s">
        <v>2729</v>
      </c>
      <c r="I24" s="24" t="s">
        <v>2729</v>
      </c>
      <c r="J24" s="24" t="s">
        <v>2729</v>
      </c>
      <c r="K24" s="24" t="s">
        <v>2729</v>
      </c>
      <c r="L24" s="24" t="s">
        <v>2729</v>
      </c>
      <c r="M24" s="24" t="s">
        <v>2729</v>
      </c>
      <c r="N24" s="24" t="s">
        <v>2729</v>
      </c>
      <c r="O24" s="24" t="s">
        <v>2729</v>
      </c>
      <c r="P24" s="24" t="s">
        <v>2729</v>
      </c>
      <c r="Q24" s="24" t="s">
        <v>2729</v>
      </c>
      <c r="R24" s="24" t="s">
        <v>2729</v>
      </c>
      <c r="S24" s="24" t="s">
        <v>2729</v>
      </c>
      <c r="T24" s="24" t="s">
        <v>2729</v>
      </c>
      <c r="U24" s="24" t="s">
        <v>2729</v>
      </c>
      <c r="V24" s="24" t="s">
        <v>2729</v>
      </c>
      <c r="W24" s="24" t="s">
        <v>2729</v>
      </c>
      <c r="X24" s="24" t="s">
        <v>2729</v>
      </c>
      <c r="Y24" s="24" t="s">
        <v>2729</v>
      </c>
      <c r="Z24" s="24" t="s">
        <v>2729</v>
      </c>
      <c r="AA24" s="24" t="s">
        <v>2729</v>
      </c>
      <c r="AB24" s="24" t="s">
        <v>2729</v>
      </c>
      <c r="AC24" s="24" t="s">
        <v>2729</v>
      </c>
      <c r="AD24" s="24" t="s">
        <v>2729</v>
      </c>
      <c r="AE24" s="24" t="s">
        <v>2729</v>
      </c>
      <c r="AF24" s="24" t="s">
        <v>2729</v>
      </c>
      <c r="AG24" s="24" t="s">
        <v>2729</v>
      </c>
      <c r="AH24" s="24" t="s">
        <v>2729</v>
      </c>
      <c r="AI24" s="24" t="s">
        <v>2729</v>
      </c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</row>
    <row r="29" customFormat="false" ht="15.75" hidden="false" customHeight="true" outlineLevel="0" collapsed="false">
      <c r="B29" s="24" t="s">
        <v>2740</v>
      </c>
      <c r="C29" s="24" t="n">
        <v>21</v>
      </c>
      <c r="D29" s="44" t="n">
        <f aca="false">C29*7</f>
        <v>147</v>
      </c>
      <c r="E29" s="24" t="n">
        <f aca="false">C29*31</f>
        <v>651</v>
      </c>
      <c r="G29" s="44"/>
      <c r="H29" s="47" t="n">
        <v>45413</v>
      </c>
      <c r="I29" s="44" t="s">
        <v>2741</v>
      </c>
      <c r="J29" s="44" t="s">
        <v>2742</v>
      </c>
      <c r="K29" s="44"/>
      <c r="L29" s="47" t="n">
        <v>45413</v>
      </c>
      <c r="M29" s="44" t="s">
        <v>2741</v>
      </c>
      <c r="N29" s="44" t="s">
        <v>2742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0</v>
      </c>
      <c r="I30" s="24" t="n">
        <f aca="false">COUNTA(J4:P9)</f>
        <v>0</v>
      </c>
      <c r="J30" s="24" t="n">
        <f aca="false">COUNTA(E4:AI9)</f>
        <v>32</v>
      </c>
      <c r="K30" s="24" t="s">
        <v>65</v>
      </c>
      <c r="L30" s="24" t="n">
        <f aca="false">COUNTBLANK(E4:E9)</f>
        <v>6</v>
      </c>
      <c r="M30" s="24" t="n">
        <f aca="false">COUNTBLANK(J4:P9)</f>
        <v>42</v>
      </c>
      <c r="N30" s="49" t="n">
        <f aca="false">COUNTBLANK(E4:AI9)</f>
        <v>154</v>
      </c>
      <c r="O30" s="50" t="n">
        <f aca="false">J30+N30</f>
        <v>186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49" t="n">
        <f aca="false">COUNTA(E10:E13)</f>
        <v>0</v>
      </c>
      <c r="I31" s="24"/>
      <c r="J31" s="24" t="n">
        <f aca="false">COUNTA(E10:AI13)</f>
        <v>16</v>
      </c>
      <c r="K31" s="24" t="s">
        <v>60</v>
      </c>
      <c r="L31" s="49" t="n">
        <f aca="false">COUNTBLANK(I10:I14)</f>
        <v>5</v>
      </c>
      <c r="M31" s="24"/>
      <c r="N31" s="24" t="n">
        <f aca="false">COUNTBLANK(E10:AI13)</f>
        <v>108</v>
      </c>
      <c r="O31" s="50" t="n">
        <f aca="false">J31+N31</f>
        <v>124</v>
      </c>
    </row>
    <row r="32" customFormat="false" ht="15.75" hidden="false" customHeight="true" outlineLevel="0" collapsed="false">
      <c r="B32" s="24" t="s">
        <v>71</v>
      </c>
      <c r="C32" s="24" t="n"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49" t="n">
        <f aca="false">COUNTA(E14:E16)</f>
        <v>0</v>
      </c>
      <c r="I32" s="24"/>
      <c r="J32" s="24" t="n">
        <f aca="false">COUNTA(E14:AI16)</f>
        <v>8</v>
      </c>
      <c r="K32" s="24" t="s">
        <v>71</v>
      </c>
      <c r="L32" s="49" t="n">
        <f aca="false">COUNTBLANK(I14:I16)</f>
        <v>3</v>
      </c>
      <c r="M32" s="24"/>
      <c r="N32" s="24" t="n">
        <f aca="false">COUNTBLANK(E14:AI16)</f>
        <v>85</v>
      </c>
      <c r="O32" s="50" t="n">
        <f aca="false">J32+N32</f>
        <v>93</v>
      </c>
    </row>
    <row r="33" customFormat="false" ht="15.75" hidden="false" customHeight="true" outlineLevel="0" collapsed="false">
      <c r="B33" s="24" t="s">
        <v>2743</v>
      </c>
      <c r="C33" s="24" t="n">
        <v>7</v>
      </c>
      <c r="D33" s="44" t="n">
        <f aca="false">C33*7</f>
        <v>49</v>
      </c>
      <c r="E33" s="24" t="n">
        <f aca="false">C33*31</f>
        <v>217</v>
      </c>
      <c r="G33" s="24" t="s">
        <v>2743</v>
      </c>
      <c r="H33" s="49" t="n">
        <f aca="false">COUNTA(E17:E23)</f>
        <v>0</v>
      </c>
      <c r="I33" s="24"/>
      <c r="J33" s="24" t="n">
        <f aca="false">COUNTA(E17:AI23)</f>
        <v>11</v>
      </c>
      <c r="K33" s="24" t="s">
        <v>2743</v>
      </c>
      <c r="L33" s="49" t="n">
        <f aca="false">COUNTBLANK(I17:I23)</f>
        <v>7</v>
      </c>
      <c r="M33" s="24"/>
      <c r="N33" s="24" t="n">
        <f aca="false">COUNTBLANK(E17:AI23)</f>
        <v>206</v>
      </c>
      <c r="O33" s="50" t="n">
        <f aca="false">J33+N33</f>
        <v>217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f aca="false">COUNTA(E24)</f>
        <v>1</v>
      </c>
      <c r="I34" s="24"/>
      <c r="J34" s="24"/>
      <c r="K34" s="24" t="s">
        <v>2744</v>
      </c>
      <c r="L34" s="24" t="n">
        <f aca="false">COUNTBLANK(I24)</f>
        <v>0</v>
      </c>
      <c r="M34" s="24"/>
      <c r="N34" s="24"/>
      <c r="O34" s="50" t="n">
        <f aca="false">J34+N34</f>
        <v>0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COUNTIF($E$4:$AI$24,B39)</f>
        <v>0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COUNTIF($E$4:$AI$24,B40)</f>
        <v>0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COUNTIF($E$4:$AI$24,B41)</f>
        <v>8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COUNTIF($E$4:$AI$24,B42)</f>
        <v>45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COUNTIF($E$4:$AI$24,B43)</f>
        <v>1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COUNTIF($E$4:$AI$24,B44)</f>
        <v>12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COUNTIF($E$4:$AI$24,B45)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COUNTIF($E$4:$AI$24,B46)</f>
        <v>1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COUNTIF($E$4:$AI$24,B47)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COUNTIF($E$4:$AI$24,B48)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0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E1:AH1"/>
    <mergeCell ref="G27:J27"/>
    <mergeCell ref="K27:N27"/>
    <mergeCell ref="G28:G29"/>
    <mergeCell ref="K28:K29"/>
    <mergeCell ref="G37:J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false" showOutlineSymbols="true" defaultGridColor="true" view="normal" topLeftCell="H15" colorId="64" zoomScale="100" zoomScaleNormal="100" zoomScalePageLayoutView="100" workbookViewId="0">
      <selection pane="topLeft" activeCell="M38" activeCellId="0" sqref="M38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5.51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2857</v>
      </c>
      <c r="E1" s="17" t="s">
        <v>2858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6" t="s">
        <v>2719</v>
      </c>
      <c r="F2" s="16" t="s">
        <v>2720</v>
      </c>
      <c r="G2" s="15" t="s">
        <v>2721</v>
      </c>
      <c r="H2" s="15" t="s">
        <v>2722</v>
      </c>
      <c r="I2" s="15" t="s">
        <v>2716</v>
      </c>
      <c r="J2" s="15" t="s">
        <v>2717</v>
      </c>
      <c r="K2" s="15" t="s">
        <v>2718</v>
      </c>
      <c r="L2" s="16" t="s">
        <v>2719</v>
      </c>
      <c r="M2" s="16" t="s">
        <v>2720</v>
      </c>
      <c r="N2" s="15" t="s">
        <v>2721</v>
      </c>
      <c r="O2" s="15" t="s">
        <v>2722</v>
      </c>
      <c r="P2" s="15" t="s">
        <v>2716</v>
      </c>
      <c r="Q2" s="15" t="s">
        <v>2717</v>
      </c>
      <c r="R2" s="15" t="s">
        <v>2718</v>
      </c>
      <c r="S2" s="16" t="s">
        <v>2719</v>
      </c>
      <c r="T2" s="16" t="s">
        <v>2720</v>
      </c>
      <c r="U2" s="15" t="s">
        <v>2721</v>
      </c>
      <c r="V2" s="15" t="s">
        <v>2722</v>
      </c>
      <c r="W2" s="15" t="s">
        <v>2716</v>
      </c>
      <c r="X2" s="15" t="s">
        <v>2717</v>
      </c>
      <c r="Y2" s="15" t="s">
        <v>2718</v>
      </c>
      <c r="Z2" s="16" t="s">
        <v>2719</v>
      </c>
      <c r="AA2" s="16" t="s">
        <v>2720</v>
      </c>
      <c r="AB2" s="15" t="s">
        <v>2721</v>
      </c>
      <c r="AC2" s="15" t="s">
        <v>2722</v>
      </c>
      <c r="AD2" s="15" t="s">
        <v>2716</v>
      </c>
      <c r="AE2" s="15" t="s">
        <v>2717</v>
      </c>
      <c r="AF2" s="15" t="s">
        <v>2718</v>
      </c>
      <c r="AG2" s="16" t="s">
        <v>2719</v>
      </c>
      <c r="AH2" s="16" t="s">
        <v>2720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45444</v>
      </c>
      <c r="F3" s="19" t="n">
        <v>45445</v>
      </c>
      <c r="G3" s="19" t="n">
        <v>45446</v>
      </c>
      <c r="H3" s="19" t="n">
        <v>45447</v>
      </c>
      <c r="I3" s="19" t="n">
        <v>45448</v>
      </c>
      <c r="J3" s="19" t="n">
        <v>45449</v>
      </c>
      <c r="K3" s="19" t="n">
        <v>45450</v>
      </c>
      <c r="L3" s="19" t="n">
        <v>45451</v>
      </c>
      <c r="M3" s="19" t="n">
        <v>45452</v>
      </c>
      <c r="N3" s="19" t="n">
        <v>45453</v>
      </c>
      <c r="O3" s="19" t="n">
        <v>45454</v>
      </c>
      <c r="P3" s="19" t="n">
        <v>45455</v>
      </c>
      <c r="Q3" s="19" t="n">
        <v>45456</v>
      </c>
      <c r="R3" s="19" t="n">
        <v>45457</v>
      </c>
      <c r="S3" s="19" t="n">
        <v>45458</v>
      </c>
      <c r="T3" s="19" t="n">
        <v>45459</v>
      </c>
      <c r="U3" s="19" t="n">
        <v>45460</v>
      </c>
      <c r="V3" s="19" t="n">
        <v>45461</v>
      </c>
      <c r="W3" s="19" t="n">
        <v>45462</v>
      </c>
      <c r="X3" s="19" t="n">
        <v>45463</v>
      </c>
      <c r="Y3" s="19" t="n">
        <v>45464</v>
      </c>
      <c r="Z3" s="19" t="n">
        <v>45465</v>
      </c>
      <c r="AA3" s="19" t="n">
        <v>45466</v>
      </c>
      <c r="AB3" s="19" t="n">
        <v>45467</v>
      </c>
      <c r="AC3" s="19" t="n">
        <v>45468</v>
      </c>
      <c r="AD3" s="19" t="n">
        <v>45469</v>
      </c>
      <c r="AE3" s="19" t="n">
        <v>45470</v>
      </c>
      <c r="AF3" s="19" t="n">
        <v>45471</v>
      </c>
      <c r="AG3" s="19" t="n">
        <v>45472</v>
      </c>
      <c r="AH3" s="19" t="n">
        <v>45473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 t="s">
        <v>43</v>
      </c>
      <c r="F4" s="24"/>
      <c r="G4" s="24"/>
      <c r="H4" s="24"/>
      <c r="I4" s="24"/>
      <c r="J4" s="24"/>
      <c r="K4" s="24"/>
      <c r="L4" s="24"/>
      <c r="M4" s="24" t="s">
        <v>43</v>
      </c>
      <c r="N4" s="24"/>
      <c r="O4" s="24"/>
      <c r="P4" s="24"/>
      <c r="Q4" s="102" t="s">
        <v>43</v>
      </c>
      <c r="R4" s="24" t="s">
        <v>2761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 t="s">
        <v>43</v>
      </c>
      <c r="F5" s="24"/>
      <c r="G5" s="24"/>
      <c r="H5" s="24"/>
      <c r="J5" s="102" t="s">
        <v>2727</v>
      </c>
      <c r="K5" s="24"/>
      <c r="L5" s="24"/>
      <c r="M5" s="24"/>
      <c r="N5" s="103" t="s">
        <v>43</v>
      </c>
      <c r="O5" s="103" t="s">
        <v>43</v>
      </c>
      <c r="P5" s="24" t="s">
        <v>43</v>
      </c>
      <c r="Q5" s="102" t="s">
        <v>43</v>
      </c>
      <c r="R5" s="102" t="s">
        <v>43</v>
      </c>
      <c r="S5" s="104" t="s">
        <v>43</v>
      </c>
      <c r="T5" s="104" t="s">
        <v>43</v>
      </c>
      <c r="U5" s="24"/>
      <c r="V5" s="24"/>
      <c r="W5" s="24" t="s">
        <v>43</v>
      </c>
      <c r="X5" s="24" t="s">
        <v>2761</v>
      </c>
      <c r="Y5" s="24"/>
      <c r="Z5" s="24" t="s">
        <v>43</v>
      </c>
      <c r="AA5" s="24" t="s">
        <v>43</v>
      </c>
      <c r="AB5" s="24" t="s">
        <v>43</v>
      </c>
      <c r="AC5" s="24" t="s">
        <v>43</v>
      </c>
      <c r="AD5" s="24" t="s">
        <v>43</v>
      </c>
      <c r="AE5" s="36" t="s">
        <v>43</v>
      </c>
      <c r="AF5" s="24"/>
      <c r="AG5" s="24" t="s">
        <v>2761</v>
      </c>
      <c r="AH5" s="24" t="s">
        <v>2761</v>
      </c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 t="s">
        <v>2727</v>
      </c>
      <c r="F6" s="24"/>
      <c r="G6" s="24"/>
      <c r="H6" s="105" t="s">
        <v>43</v>
      </c>
      <c r="I6" s="105" t="s">
        <v>43</v>
      </c>
      <c r="J6" s="105" t="s">
        <v>43</v>
      </c>
      <c r="K6" s="24"/>
      <c r="L6" s="24" t="s">
        <v>43</v>
      </c>
      <c r="M6" s="24" t="s">
        <v>43</v>
      </c>
      <c r="N6" s="103" t="s">
        <v>43</v>
      </c>
      <c r="O6" s="103" t="s">
        <v>43</v>
      </c>
      <c r="P6" s="24" t="s">
        <v>2761</v>
      </c>
      <c r="Q6" s="24" t="s">
        <v>43</v>
      </c>
      <c r="R6" s="24" t="s">
        <v>2761</v>
      </c>
      <c r="S6" s="24" t="s">
        <v>2761</v>
      </c>
      <c r="T6" s="24" t="s">
        <v>2761</v>
      </c>
      <c r="U6" s="24" t="s">
        <v>2727</v>
      </c>
      <c r="V6" s="24" t="s">
        <v>2727</v>
      </c>
      <c r="W6" s="24" t="s">
        <v>2727</v>
      </c>
      <c r="X6" s="24" t="s">
        <v>2761</v>
      </c>
      <c r="Y6" s="24" t="s">
        <v>2761</v>
      </c>
      <c r="Z6" s="24" t="s">
        <v>2761</v>
      </c>
      <c r="AA6" s="24" t="s">
        <v>2761</v>
      </c>
      <c r="AB6" s="24" t="s">
        <v>2761</v>
      </c>
      <c r="AC6" s="24" t="s">
        <v>2761</v>
      </c>
      <c r="AD6" s="24" t="s">
        <v>2761</v>
      </c>
      <c r="AE6" s="24" t="s">
        <v>43</v>
      </c>
      <c r="AF6" s="24" t="s">
        <v>43</v>
      </c>
      <c r="AG6" s="24" t="s">
        <v>43</v>
      </c>
      <c r="AH6" s="24" t="s">
        <v>43</v>
      </c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 t="s">
        <v>43</v>
      </c>
      <c r="G7" s="38"/>
      <c r="H7" s="105" t="s">
        <v>43</v>
      </c>
      <c r="I7" s="105" t="s">
        <v>43</v>
      </c>
      <c r="J7" s="105" t="s">
        <v>43</v>
      </c>
      <c r="K7" s="24"/>
      <c r="L7" s="24" t="s">
        <v>43</v>
      </c>
      <c r="M7" s="24" t="s">
        <v>43</v>
      </c>
      <c r="N7" s="24" t="s">
        <v>43</v>
      </c>
      <c r="O7" s="24"/>
      <c r="P7" s="24" t="s">
        <v>43</v>
      </c>
      <c r="Q7" s="24" t="s">
        <v>43</v>
      </c>
      <c r="R7" s="24" t="s">
        <v>43</v>
      </c>
      <c r="S7" s="24" t="s">
        <v>43</v>
      </c>
      <c r="T7" s="24" t="s">
        <v>43</v>
      </c>
      <c r="U7" s="24" t="s">
        <v>43</v>
      </c>
      <c r="V7" s="24"/>
      <c r="W7" s="24" t="s">
        <v>43</v>
      </c>
      <c r="X7" s="24" t="s">
        <v>43</v>
      </c>
      <c r="Y7" s="24" t="s">
        <v>43</v>
      </c>
      <c r="Z7" s="24" t="s">
        <v>43</v>
      </c>
      <c r="AA7" s="106" t="s">
        <v>43</v>
      </c>
      <c r="AB7" s="24" t="s">
        <v>43</v>
      </c>
      <c r="AC7" s="24" t="s">
        <v>43</v>
      </c>
      <c r="AD7" s="24" t="s">
        <v>2762</v>
      </c>
      <c r="AE7" s="24" t="s">
        <v>2762</v>
      </c>
      <c r="AF7" s="24"/>
      <c r="AG7" s="24" t="s">
        <v>2761</v>
      </c>
      <c r="AH7" s="24" t="s">
        <v>43</v>
      </c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 t="s">
        <v>2727</v>
      </c>
      <c r="F8" s="24"/>
      <c r="G8" s="24"/>
      <c r="H8" s="96" t="s">
        <v>43</v>
      </c>
      <c r="I8" s="24"/>
      <c r="J8" s="24" t="s">
        <v>43</v>
      </c>
      <c r="K8" s="24"/>
      <c r="L8" s="24" t="s">
        <v>43</v>
      </c>
      <c r="M8" s="24" t="s">
        <v>43</v>
      </c>
      <c r="N8" s="24"/>
      <c r="O8" s="24"/>
      <c r="P8" s="24" t="s">
        <v>43</v>
      </c>
      <c r="Q8" s="102" t="s">
        <v>43</v>
      </c>
      <c r="R8" s="102" t="s">
        <v>43</v>
      </c>
      <c r="S8" s="24" t="s">
        <v>43</v>
      </c>
      <c r="T8" s="24" t="s">
        <v>2761</v>
      </c>
      <c r="U8" s="24"/>
      <c r="V8" s="24"/>
      <c r="W8" s="24" t="s">
        <v>2761</v>
      </c>
      <c r="X8" s="24" t="s">
        <v>2761</v>
      </c>
      <c r="Y8" s="24" t="s">
        <v>43</v>
      </c>
      <c r="Z8" s="24"/>
      <c r="AA8" s="106" t="s">
        <v>43</v>
      </c>
      <c r="AB8" s="24"/>
      <c r="AC8" s="24" t="s">
        <v>43</v>
      </c>
      <c r="AD8" s="24" t="s">
        <v>43</v>
      </c>
      <c r="AE8" s="24" t="s">
        <v>43</v>
      </c>
      <c r="AF8" s="24" t="s">
        <v>43</v>
      </c>
      <c r="AG8" s="24" t="s">
        <v>43</v>
      </c>
      <c r="AH8" s="24" t="s">
        <v>43</v>
      </c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 t="s">
        <v>43</v>
      </c>
      <c r="G9" s="24"/>
      <c r="H9" s="24" t="s">
        <v>43</v>
      </c>
      <c r="I9" s="24"/>
      <c r="J9" s="102" t="s">
        <v>2727</v>
      </c>
      <c r="K9" s="24" t="s">
        <v>43</v>
      </c>
      <c r="L9" s="24"/>
      <c r="M9" s="24" t="s">
        <v>43</v>
      </c>
      <c r="N9" s="24" t="s">
        <v>43</v>
      </c>
      <c r="O9" s="24"/>
      <c r="P9" s="24"/>
      <c r="Q9" s="102" t="s">
        <v>43</v>
      </c>
      <c r="R9" s="102" t="s">
        <v>43</v>
      </c>
      <c r="S9" s="24" t="s">
        <v>2761</v>
      </c>
      <c r="T9" s="24" t="s">
        <v>43</v>
      </c>
      <c r="U9" s="24" t="s">
        <v>2761</v>
      </c>
      <c r="V9" s="24" t="s">
        <v>2761</v>
      </c>
      <c r="W9" s="24" t="s">
        <v>43</v>
      </c>
      <c r="X9" s="24" t="s">
        <v>43</v>
      </c>
      <c r="Y9" s="24" t="s">
        <v>43</v>
      </c>
      <c r="Z9" s="24" t="s">
        <v>2761</v>
      </c>
      <c r="AA9" s="24" t="s">
        <v>2761</v>
      </c>
      <c r="AB9" s="24" t="s">
        <v>2761</v>
      </c>
      <c r="AC9" s="24" t="s">
        <v>2761</v>
      </c>
      <c r="AD9" s="24" t="s">
        <v>2761</v>
      </c>
      <c r="AE9" s="24" t="s">
        <v>2761</v>
      </c>
      <c r="AF9" s="24" t="s">
        <v>2761</v>
      </c>
      <c r="AG9" s="24" t="s">
        <v>2761</v>
      </c>
      <c r="AH9" s="24" t="s">
        <v>2761</v>
      </c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 t="s">
        <v>43</v>
      </c>
      <c r="G10" s="24"/>
      <c r="H10" s="107" t="s">
        <v>43</v>
      </c>
      <c r="I10" s="107" t="s">
        <v>43</v>
      </c>
      <c r="J10" s="24"/>
      <c r="K10" s="24" t="s">
        <v>2761</v>
      </c>
      <c r="L10" s="24"/>
      <c r="M10" s="24"/>
      <c r="N10" s="24"/>
      <c r="O10" s="24"/>
      <c r="P10" s="24"/>
      <c r="Q10" s="102" t="s">
        <v>43</v>
      </c>
      <c r="R10" s="102" t="s">
        <v>43</v>
      </c>
      <c r="S10" s="24" t="s">
        <v>43</v>
      </c>
      <c r="T10" s="24" t="s">
        <v>43</v>
      </c>
      <c r="U10" s="24"/>
      <c r="V10" s="24"/>
      <c r="W10" s="24"/>
      <c r="X10" s="24"/>
      <c r="Y10" s="24"/>
      <c r="Z10" s="24"/>
      <c r="AA10" s="24"/>
      <c r="AB10" s="24" t="s">
        <v>43</v>
      </c>
      <c r="AC10" s="24" t="s">
        <v>43</v>
      </c>
      <c r="AD10" s="24"/>
      <c r="AE10" s="24" t="s">
        <v>43</v>
      </c>
      <c r="AF10" s="24"/>
      <c r="AG10" s="24" t="s">
        <v>43</v>
      </c>
      <c r="AH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 t="s">
        <v>2760</v>
      </c>
      <c r="G11" s="24"/>
      <c r="H11" s="107" t="s">
        <v>43</v>
      </c>
      <c r="I11" s="24"/>
      <c r="J11" s="102" t="s">
        <v>2727</v>
      </c>
      <c r="K11" s="24"/>
      <c r="L11" s="24"/>
      <c r="M11" s="24"/>
      <c r="N11" s="24"/>
      <c r="O11" s="24"/>
      <c r="P11" s="24"/>
      <c r="Q11" s="24"/>
      <c r="R11" s="24" t="s">
        <v>2761</v>
      </c>
      <c r="S11" s="24" t="s">
        <v>2761</v>
      </c>
      <c r="T11" s="24"/>
      <c r="U11" s="24" t="s">
        <v>43</v>
      </c>
      <c r="V11" s="24"/>
      <c r="W11" s="24"/>
      <c r="X11" s="24" t="s">
        <v>2761</v>
      </c>
      <c r="Y11" s="24" t="s">
        <v>43</v>
      </c>
      <c r="Z11" s="24" t="s">
        <v>43</v>
      </c>
      <c r="AA11" s="24"/>
      <c r="AB11" s="24" t="s">
        <v>43</v>
      </c>
      <c r="AC11" s="24" t="s">
        <v>43</v>
      </c>
      <c r="AD11" s="24" t="s">
        <v>43</v>
      </c>
      <c r="AE11" s="24" t="s">
        <v>43</v>
      </c>
      <c r="AF11" s="24" t="s">
        <v>43</v>
      </c>
      <c r="AG11" s="24" t="s">
        <v>43</v>
      </c>
      <c r="AH11" s="24" t="s">
        <v>43</v>
      </c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 t="s">
        <v>43</v>
      </c>
      <c r="F12" s="24"/>
      <c r="G12" s="24" t="s">
        <v>2760</v>
      </c>
      <c r="H12" s="24" t="s">
        <v>2760</v>
      </c>
      <c r="I12" s="24" t="s">
        <v>2760</v>
      </c>
      <c r="J12" s="24" t="s">
        <v>43</v>
      </c>
      <c r="K12" s="24"/>
      <c r="L12" s="24" t="s">
        <v>43</v>
      </c>
      <c r="M12" s="24"/>
      <c r="N12" s="24"/>
      <c r="O12" s="108" t="s">
        <v>43</v>
      </c>
      <c r="P12" s="24" t="s">
        <v>2761</v>
      </c>
      <c r="Q12" s="24" t="s">
        <v>2761</v>
      </c>
      <c r="R12" s="24" t="s">
        <v>2761</v>
      </c>
      <c r="S12" s="24" t="s">
        <v>2761</v>
      </c>
      <c r="T12" s="24"/>
      <c r="U12" s="24"/>
      <c r="V12" s="24" t="s">
        <v>43</v>
      </c>
      <c r="W12" s="24"/>
      <c r="X12" s="24"/>
      <c r="Y12" s="24" t="s">
        <v>43</v>
      </c>
      <c r="Z12" s="24" t="s">
        <v>43</v>
      </c>
      <c r="AA12" s="108" t="s">
        <v>43</v>
      </c>
      <c r="AB12" s="108" t="s">
        <v>43</v>
      </c>
      <c r="AC12" s="24" t="s">
        <v>43</v>
      </c>
      <c r="AD12" s="24" t="s">
        <v>43</v>
      </c>
      <c r="AE12" s="36" t="s">
        <v>43</v>
      </c>
      <c r="AF12" s="24" t="s">
        <v>2760</v>
      </c>
      <c r="AG12" s="24" t="s">
        <v>2760</v>
      </c>
      <c r="AH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/>
      <c r="F13" s="24"/>
      <c r="G13" s="24"/>
      <c r="H13" s="24"/>
      <c r="I13" s="24"/>
      <c r="J13" s="24"/>
      <c r="K13" s="24" t="s">
        <v>43</v>
      </c>
      <c r="L13" s="24"/>
      <c r="M13" s="24"/>
      <c r="N13" s="24"/>
      <c r="O13" s="108" t="s">
        <v>43</v>
      </c>
      <c r="P13" s="24" t="s">
        <v>43</v>
      </c>
      <c r="Q13" s="24" t="s">
        <v>43</v>
      </c>
      <c r="R13" s="24" t="s">
        <v>43</v>
      </c>
      <c r="S13" s="24" t="s">
        <v>43</v>
      </c>
      <c r="T13" s="24" t="s">
        <v>43</v>
      </c>
      <c r="U13" s="24" t="s">
        <v>43</v>
      </c>
      <c r="V13" s="24"/>
      <c r="W13" s="24"/>
      <c r="X13" s="24" t="s">
        <v>43</v>
      </c>
      <c r="Y13" s="24"/>
      <c r="Z13" s="24" t="s">
        <v>2761</v>
      </c>
      <c r="AA13" s="24" t="s">
        <v>2761</v>
      </c>
      <c r="AB13" s="24" t="s">
        <v>2761</v>
      </c>
      <c r="AC13" s="24" t="s">
        <v>2761</v>
      </c>
      <c r="AD13" s="24" t="s">
        <v>43</v>
      </c>
      <c r="AE13" s="24" t="s">
        <v>2761</v>
      </c>
      <c r="AF13" s="24" t="s">
        <v>2761</v>
      </c>
      <c r="AG13" s="24" t="s">
        <v>43</v>
      </c>
      <c r="AH13" s="24" t="s">
        <v>43</v>
      </c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 t="s">
        <v>2763</v>
      </c>
      <c r="F14" s="24"/>
      <c r="G14" s="24"/>
      <c r="H14" s="96" t="s">
        <v>43</v>
      </c>
      <c r="I14" s="24"/>
      <c r="J14" s="24" t="s">
        <v>2761</v>
      </c>
      <c r="K14" s="24"/>
      <c r="L14" s="24" t="s">
        <v>43</v>
      </c>
      <c r="M14" s="24"/>
      <c r="N14" s="24" t="s">
        <v>2762</v>
      </c>
      <c r="O14" s="108" t="s">
        <v>43</v>
      </c>
      <c r="P14" s="24"/>
      <c r="Q14" s="24" t="s">
        <v>43</v>
      </c>
      <c r="R14" s="109" t="s">
        <v>43</v>
      </c>
      <c r="S14" s="109" t="s">
        <v>43</v>
      </c>
      <c r="T14" s="109" t="s">
        <v>43</v>
      </c>
      <c r="U14" s="109" t="s">
        <v>43</v>
      </c>
      <c r="V14" s="24"/>
      <c r="X14" s="24" t="s">
        <v>2762</v>
      </c>
      <c r="Y14" s="24" t="s">
        <v>2762</v>
      </c>
      <c r="Z14" s="24"/>
      <c r="AA14" s="24" t="s">
        <v>2761</v>
      </c>
      <c r="AB14" s="24"/>
      <c r="AC14" s="24"/>
      <c r="AD14" s="24"/>
      <c r="AE14" s="24" t="s">
        <v>2760</v>
      </c>
      <c r="AF14" s="24" t="s">
        <v>43</v>
      </c>
      <c r="AG14" s="24" t="s">
        <v>43</v>
      </c>
      <c r="AH14" s="24" t="s">
        <v>43</v>
      </c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/>
      <c r="F15" s="24" t="s">
        <v>2762</v>
      </c>
      <c r="G15" s="24"/>
      <c r="H15" s="24"/>
      <c r="I15" s="24"/>
      <c r="J15" s="24" t="s">
        <v>2762</v>
      </c>
      <c r="K15" s="24" t="s">
        <v>2762</v>
      </c>
      <c r="L15" s="24"/>
      <c r="M15" s="24" t="s">
        <v>43</v>
      </c>
      <c r="N15" s="24" t="s">
        <v>2727</v>
      </c>
      <c r="O15" s="24" t="s">
        <v>2727</v>
      </c>
      <c r="P15" s="24" t="s">
        <v>2761</v>
      </c>
      <c r="Q15" s="24" t="s">
        <v>2761</v>
      </c>
      <c r="R15" s="109" t="s">
        <v>43</v>
      </c>
      <c r="S15" s="24"/>
      <c r="U15" s="110" t="s">
        <v>43</v>
      </c>
      <c r="V15" s="24"/>
      <c r="W15" s="24" t="s">
        <v>2760</v>
      </c>
      <c r="X15" s="24"/>
      <c r="Y15" s="24"/>
      <c r="Z15" s="24" t="s">
        <v>2761</v>
      </c>
      <c r="AA15" s="24" t="s">
        <v>43</v>
      </c>
      <c r="AB15" s="24"/>
      <c r="AC15" s="24" t="s">
        <v>43</v>
      </c>
      <c r="AD15" s="24"/>
      <c r="AE15" s="24" t="s">
        <v>43</v>
      </c>
      <c r="AF15" s="24" t="s">
        <v>43</v>
      </c>
      <c r="AG15" s="24"/>
      <c r="AH15" s="24" t="s">
        <v>43</v>
      </c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 t="s">
        <v>43</v>
      </c>
      <c r="AG17" s="24"/>
      <c r="AH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24"/>
      <c r="J18" s="24"/>
      <c r="K18" s="24"/>
      <c r="L18" s="24" t="s">
        <v>43</v>
      </c>
      <c r="M18" s="111" t="s">
        <v>43</v>
      </c>
      <c r="N18" s="111" t="s">
        <v>43</v>
      </c>
      <c r="O18" s="111" t="s">
        <v>43</v>
      </c>
      <c r="P18" s="24"/>
      <c r="Q18" s="112" t="s">
        <v>43</v>
      </c>
      <c r="R18" s="24"/>
      <c r="S18" s="104" t="s">
        <v>43</v>
      </c>
      <c r="T18" s="104" t="s">
        <v>43</v>
      </c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 t="s">
        <v>2727</v>
      </c>
      <c r="AH18" s="24" t="s">
        <v>2727</v>
      </c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 t="s">
        <v>43</v>
      </c>
      <c r="H19" s="24"/>
      <c r="I19" s="24" t="s">
        <v>43</v>
      </c>
      <c r="J19" s="24"/>
      <c r="K19" s="24"/>
      <c r="L19" s="24" t="s">
        <v>43</v>
      </c>
      <c r="M19" s="111" t="s">
        <v>43</v>
      </c>
      <c r="N19" s="111" t="s">
        <v>43</v>
      </c>
      <c r="O19" s="111" t="s">
        <v>43</v>
      </c>
      <c r="P19" s="24"/>
      <c r="Q19" s="112" t="s">
        <v>43</v>
      </c>
      <c r="R19" s="24"/>
      <c r="S19" s="24"/>
      <c r="T19" s="24"/>
      <c r="U19" s="29" t="s">
        <v>2727</v>
      </c>
      <c r="V19" s="29" t="s">
        <v>2727</v>
      </c>
      <c r="W19" s="29" t="s">
        <v>2727</v>
      </c>
      <c r="X19" s="24"/>
      <c r="Y19" s="24"/>
      <c r="Z19" s="24" t="s">
        <v>43</v>
      </c>
      <c r="AA19" s="108" t="s">
        <v>43</v>
      </c>
      <c r="AB19" s="108" t="s">
        <v>43</v>
      </c>
      <c r="AC19" s="24"/>
      <c r="AD19" s="24"/>
      <c r="AE19" s="24"/>
      <c r="AF19" s="24"/>
      <c r="AG19" s="24" t="s">
        <v>43</v>
      </c>
      <c r="AH19" s="112" t="s">
        <v>43</v>
      </c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/>
      <c r="H20" s="24"/>
      <c r="I20" s="24"/>
      <c r="J20" s="24" t="s">
        <v>43</v>
      </c>
      <c r="K20" s="24" t="s">
        <v>2727</v>
      </c>
      <c r="L20" s="24" t="s">
        <v>2727</v>
      </c>
      <c r="M20" s="24" t="s">
        <v>2727</v>
      </c>
      <c r="N20" s="24"/>
      <c r="O20" s="24" t="s">
        <v>2727</v>
      </c>
      <c r="P20" s="24" t="s">
        <v>2727</v>
      </c>
      <c r="Q20" s="24" t="s">
        <v>2727</v>
      </c>
      <c r="R20" s="24" t="s">
        <v>2762</v>
      </c>
      <c r="S20" s="24" t="s">
        <v>2762</v>
      </c>
      <c r="T20" s="24" t="s">
        <v>2762</v>
      </c>
      <c r="U20" s="29" t="s">
        <v>2727</v>
      </c>
      <c r="V20" s="29" t="s">
        <v>2727</v>
      </c>
      <c r="W20" s="29" t="s">
        <v>2727</v>
      </c>
      <c r="X20" s="24"/>
      <c r="Y20" s="24"/>
      <c r="Z20" s="24" t="s">
        <v>43</v>
      </c>
      <c r="AA20" s="24" t="s">
        <v>43</v>
      </c>
      <c r="AB20" s="24"/>
      <c r="AC20" s="24"/>
      <c r="AD20" s="24"/>
      <c r="AE20" s="24"/>
      <c r="AF20" s="24"/>
      <c r="AG20" s="24" t="s">
        <v>2762</v>
      </c>
      <c r="AH20" s="24" t="s">
        <v>2762</v>
      </c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/>
      <c r="H21" s="96" t="s">
        <v>43</v>
      </c>
      <c r="I21" s="24"/>
      <c r="J21" s="24" t="s">
        <v>43</v>
      </c>
      <c r="K21" s="24" t="s">
        <v>43</v>
      </c>
      <c r="L21" s="24" t="s">
        <v>43</v>
      </c>
      <c r="M21" s="24"/>
      <c r="N21" s="24" t="s">
        <v>43</v>
      </c>
      <c r="O21" s="24" t="s">
        <v>43</v>
      </c>
      <c r="P21" s="24" t="s">
        <v>2762</v>
      </c>
      <c r="Q21" s="24"/>
      <c r="R21" s="24" t="s">
        <v>43</v>
      </c>
      <c r="S21" s="24" t="s">
        <v>43</v>
      </c>
      <c r="T21" s="24" t="s">
        <v>43</v>
      </c>
      <c r="U21" s="110" t="s">
        <v>43</v>
      </c>
      <c r="V21" s="24" t="s">
        <v>43</v>
      </c>
      <c r="W21" s="24" t="s">
        <v>2762</v>
      </c>
      <c r="X21" s="24" t="s">
        <v>2762</v>
      </c>
      <c r="Y21" s="24" t="s">
        <v>43</v>
      </c>
      <c r="Z21" s="24"/>
      <c r="AA21" s="24"/>
      <c r="AB21" s="24"/>
      <c r="AC21" s="24"/>
      <c r="AD21" s="24"/>
      <c r="AE21" s="24" t="s">
        <v>43</v>
      </c>
      <c r="AF21" s="24" t="s">
        <v>43</v>
      </c>
      <c r="AG21" s="24" t="s">
        <v>43</v>
      </c>
      <c r="AH21" s="112" t="s">
        <v>43</v>
      </c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/>
      <c r="G22" s="24"/>
      <c r="H22" s="24"/>
      <c r="I22" s="24"/>
      <c r="J22" s="24" t="s">
        <v>43</v>
      </c>
      <c r="K22" s="24" t="s">
        <v>43</v>
      </c>
      <c r="L22" s="24" t="s">
        <v>43</v>
      </c>
      <c r="M22" s="24" t="s">
        <v>43</v>
      </c>
      <c r="N22" s="24" t="s">
        <v>43</v>
      </c>
      <c r="O22" s="24"/>
      <c r="P22" s="24" t="s">
        <v>2762</v>
      </c>
      <c r="Q22" s="24" t="s">
        <v>2762</v>
      </c>
      <c r="R22" s="24" t="s">
        <v>2762</v>
      </c>
      <c r="S22" s="24" t="s">
        <v>2762</v>
      </c>
      <c r="T22" s="24" t="s">
        <v>2762</v>
      </c>
      <c r="U22" s="24" t="s">
        <v>2762</v>
      </c>
      <c r="V22" s="24" t="s">
        <v>2762</v>
      </c>
      <c r="W22" s="24" t="s">
        <v>2762</v>
      </c>
      <c r="X22" s="24" t="s">
        <v>2762</v>
      </c>
      <c r="Y22" s="24" t="s">
        <v>2762</v>
      </c>
      <c r="Z22" s="24" t="s">
        <v>2762</v>
      </c>
      <c r="AA22" s="24"/>
      <c r="AB22" s="24"/>
      <c r="AC22" s="24"/>
      <c r="AD22" s="24" t="s">
        <v>43</v>
      </c>
      <c r="AE22" s="24" t="s">
        <v>43</v>
      </c>
      <c r="AF22" s="24" t="s">
        <v>43</v>
      </c>
      <c r="AG22" s="24" t="s">
        <v>43</v>
      </c>
      <c r="AH22" s="24" t="s">
        <v>43</v>
      </c>
    </row>
    <row r="23" customFormat="false" ht="15.75" hidden="false" customHeight="true" outlineLevel="0" collapsed="false">
      <c r="A23" s="33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/>
      <c r="I23" s="24"/>
      <c r="J23" s="24"/>
      <c r="K23" s="24"/>
      <c r="L23" s="24"/>
      <c r="M23" s="111" t="s">
        <v>43</v>
      </c>
      <c r="N23" s="111" t="s">
        <v>43</v>
      </c>
      <c r="O23" s="111" t="s">
        <v>43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 t="s">
        <v>43</v>
      </c>
      <c r="AD23" s="24" t="s">
        <v>43</v>
      </c>
      <c r="AE23" s="24" t="s">
        <v>43</v>
      </c>
      <c r="AF23" s="24"/>
      <c r="AG23" s="24"/>
      <c r="AH23" s="24"/>
    </row>
    <row r="24" customFormat="false" ht="15.75" hidden="false" customHeight="true" outlineLevel="0" collapsed="false">
      <c r="A24" s="38" t="n">
        <v>21</v>
      </c>
      <c r="B24" s="24" t="s">
        <v>209</v>
      </c>
      <c r="C24" s="24" t="s">
        <v>209</v>
      </c>
      <c r="D24" s="23" t="n">
        <v>1</v>
      </c>
      <c r="E24" s="24" t="s">
        <v>2729</v>
      </c>
      <c r="F24" s="24" t="s">
        <v>2729</v>
      </c>
      <c r="G24" s="24" t="s">
        <v>2729</v>
      </c>
      <c r="H24" s="24" t="s">
        <v>2729</v>
      </c>
      <c r="I24" s="24" t="s">
        <v>2729</v>
      </c>
      <c r="J24" s="24" t="s">
        <v>2729</v>
      </c>
      <c r="K24" s="24" t="s">
        <v>2729</v>
      </c>
      <c r="L24" s="24" t="s">
        <v>2729</v>
      </c>
      <c r="M24" s="24" t="s">
        <v>2729</v>
      </c>
      <c r="N24" s="24" t="s">
        <v>2729</v>
      </c>
      <c r="O24" s="24" t="s">
        <v>2729</v>
      </c>
      <c r="P24" s="24" t="s">
        <v>2729</v>
      </c>
      <c r="Q24" s="24" t="s">
        <v>2729</v>
      </c>
      <c r="R24" s="24" t="s">
        <v>2729</v>
      </c>
      <c r="S24" s="24" t="s">
        <v>2729</v>
      </c>
      <c r="T24" s="24" t="s">
        <v>2729</v>
      </c>
      <c r="U24" s="24" t="s">
        <v>2729</v>
      </c>
      <c r="V24" s="24" t="s">
        <v>2729</v>
      </c>
      <c r="W24" s="24" t="s">
        <v>2729</v>
      </c>
      <c r="X24" s="24" t="s">
        <v>2729</v>
      </c>
      <c r="Y24" s="24" t="s">
        <v>2729</v>
      </c>
      <c r="Z24" s="24" t="s">
        <v>2729</v>
      </c>
      <c r="AA24" s="24" t="s">
        <v>2729</v>
      </c>
      <c r="AB24" s="24" t="s">
        <v>2729</v>
      </c>
      <c r="AC24" s="24" t="s">
        <v>2729</v>
      </c>
      <c r="AD24" s="24" t="s">
        <v>2729</v>
      </c>
      <c r="AE24" s="24" t="s">
        <v>2729</v>
      </c>
      <c r="AF24" s="24" t="s">
        <v>2729</v>
      </c>
      <c r="AG24" s="24" t="s">
        <v>2729</v>
      </c>
      <c r="AH24" s="24" t="s">
        <v>2729</v>
      </c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2859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5" t="s">
        <v>2733</v>
      </c>
      <c r="C28" s="36" t="s">
        <v>2734</v>
      </c>
      <c r="D28" s="46" t="s">
        <v>2735</v>
      </c>
      <c r="E28" s="36" t="s">
        <v>2736</v>
      </c>
      <c r="G28" s="44" t="s">
        <v>2737</v>
      </c>
      <c r="H28" s="44" t="s">
        <v>2734</v>
      </c>
      <c r="I28" s="44" t="s">
        <v>2735</v>
      </c>
      <c r="J28" s="113" t="s">
        <v>2736</v>
      </c>
      <c r="K28" s="44" t="s">
        <v>2737</v>
      </c>
      <c r="L28" s="44" t="s">
        <v>2734</v>
      </c>
      <c r="M28" s="44" t="s">
        <v>2735</v>
      </c>
      <c r="N28" s="113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36" t="s">
        <v>2740</v>
      </c>
      <c r="C29" s="36" t="n">
        <v>21</v>
      </c>
      <c r="D29" s="46" t="n">
        <f aca="false">C29*7</f>
        <v>147</v>
      </c>
      <c r="E29" s="36" t="n">
        <f aca="false">C29*30</f>
        <v>630</v>
      </c>
      <c r="G29" s="44"/>
      <c r="H29" s="47" t="n">
        <v>45444</v>
      </c>
      <c r="I29" s="44" t="s">
        <v>2771</v>
      </c>
      <c r="J29" s="113" t="s">
        <v>2772</v>
      </c>
      <c r="K29" s="44"/>
      <c r="L29" s="47" t="n">
        <v>45444</v>
      </c>
      <c r="M29" s="44" t="s">
        <v>2771</v>
      </c>
      <c r="N29" s="113" t="s">
        <v>2772</v>
      </c>
      <c r="Q29" s="36" t="s">
        <v>2740</v>
      </c>
      <c r="R29" s="24" t="n">
        <f aca="false">SUM(R30:R33)</f>
        <v>20</v>
      </c>
      <c r="S29" s="24" t="n">
        <f aca="false">R29*30</f>
        <v>600</v>
      </c>
      <c r="T29" s="24" t="n">
        <f aca="false">SUM(T30:T33)</f>
        <v>310</v>
      </c>
      <c r="U29" s="48" t="n">
        <f aca="false">T29/S29</f>
        <v>0.516666666666667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C30*30</f>
        <v>180</v>
      </c>
      <c r="G30" s="24" t="s">
        <v>65</v>
      </c>
      <c r="H30" s="24" t="n">
        <f aca="false">COUNTA(E4:E9)</f>
        <v>5</v>
      </c>
      <c r="I30" s="24" t="n">
        <f aca="false">COUNTA(J4:P9)</f>
        <v>24</v>
      </c>
      <c r="J30" s="25" t="n">
        <f aca="false">COUNTA(E4:AH9)</f>
        <v>119</v>
      </c>
      <c r="K30" s="24" t="s">
        <v>65</v>
      </c>
      <c r="L30" s="24" t="n">
        <f aca="false">COUNTBLANK(E4:E9)</f>
        <v>1</v>
      </c>
      <c r="M30" s="24" t="n">
        <f aca="false">COUNTBLANK(J4:P9)</f>
        <v>18</v>
      </c>
      <c r="N30" s="114" t="n">
        <f aca="false">COUNTBLANK(E4:AH9)</f>
        <v>61</v>
      </c>
      <c r="Q30" s="24" t="s">
        <v>65</v>
      </c>
      <c r="R30" s="24" t="n">
        <v>6</v>
      </c>
      <c r="S30" s="24" t="n">
        <f aca="false">R30*30</f>
        <v>180</v>
      </c>
      <c r="T30" s="24" t="n">
        <v>119</v>
      </c>
      <c r="U30" s="48" t="n">
        <f aca="false">T30/S30</f>
        <v>0.661111111111111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C31*30</f>
        <v>120</v>
      </c>
      <c r="G31" s="24" t="s">
        <v>60</v>
      </c>
      <c r="H31" s="49" t="n">
        <f aca="false">COUNTA(E10:E13)</f>
        <v>1</v>
      </c>
      <c r="I31" s="24"/>
      <c r="J31" s="25" t="n">
        <f aca="false">COUNTA(E10:AH13)</f>
        <v>68</v>
      </c>
      <c r="K31" s="24" t="s">
        <v>60</v>
      </c>
      <c r="L31" s="49" t="n">
        <f aca="false">COUNTBLANK(I10:I14)</f>
        <v>3</v>
      </c>
      <c r="M31" s="24"/>
      <c r="N31" s="25" t="n">
        <f aca="false">COUNTBLANK(E10:AH13)</f>
        <v>52</v>
      </c>
      <c r="Q31" s="24" t="s">
        <v>60</v>
      </c>
      <c r="R31" s="24" t="n">
        <v>4</v>
      </c>
      <c r="S31" s="24" t="n">
        <f aca="false">R31*30</f>
        <v>120</v>
      </c>
      <c r="T31" s="24" t="n">
        <v>68</v>
      </c>
      <c r="U31" s="48" t="n">
        <f aca="false">T31/S31</f>
        <v>0.566666666666667</v>
      </c>
    </row>
    <row r="32" customFormat="false" ht="15.75" hidden="false" customHeight="true" outlineLevel="0" collapsed="false">
      <c r="B32" s="24" t="s">
        <v>71</v>
      </c>
      <c r="C32" s="24" t="n">
        <v>3</v>
      </c>
      <c r="D32" s="44" t="n">
        <f aca="false">C32*7</f>
        <v>21</v>
      </c>
      <c r="E32" s="24" t="n">
        <f aca="false">C32*30</f>
        <v>90</v>
      </c>
      <c r="G32" s="24" t="s">
        <v>71</v>
      </c>
      <c r="H32" s="49" t="n">
        <f aca="false">COUNTA(E14:E16)</f>
        <v>1</v>
      </c>
      <c r="I32" s="24"/>
      <c r="J32" s="25" t="n">
        <f aca="false">COUNTA(E14:AH16)</f>
        <v>35</v>
      </c>
      <c r="K32" s="24" t="s">
        <v>71</v>
      </c>
      <c r="L32" s="49" t="n">
        <f aca="false">COUNTBLANK(I14:I16)</f>
        <v>3</v>
      </c>
      <c r="M32" s="24"/>
      <c r="N32" s="25" t="n">
        <f aca="false">COUNTBLANK(E14:AH16)</f>
        <v>55</v>
      </c>
      <c r="Q32" s="24" t="s">
        <v>71</v>
      </c>
      <c r="R32" s="24" t="n">
        <v>3</v>
      </c>
      <c r="S32" s="24" t="n">
        <f aca="false">R32*30</f>
        <v>90</v>
      </c>
      <c r="T32" s="24" t="n">
        <v>35</v>
      </c>
      <c r="U32" s="48" t="n">
        <f aca="false">T32/S32</f>
        <v>0.388888888888889</v>
      </c>
    </row>
    <row r="33" customFormat="false" ht="15.75" hidden="false" customHeight="true" outlineLevel="0" collapsed="false">
      <c r="B33" s="24" t="s">
        <v>2743</v>
      </c>
      <c r="C33" s="24" t="n">
        <v>7</v>
      </c>
      <c r="D33" s="44" t="n">
        <f aca="false">C33*7</f>
        <v>49</v>
      </c>
      <c r="E33" s="24" t="n">
        <f aca="false">C33*30</f>
        <v>210</v>
      </c>
      <c r="G33" s="24" t="s">
        <v>2743</v>
      </c>
      <c r="H33" s="49" t="n">
        <f aca="false">COUNTA(E17:E23)</f>
        <v>0</v>
      </c>
      <c r="I33" s="24"/>
      <c r="J33" s="25" t="n">
        <f aca="false">COUNTA(E17:AH23)</f>
        <v>88</v>
      </c>
      <c r="K33" s="24" t="s">
        <v>2743</v>
      </c>
      <c r="L33" s="49" t="n">
        <f aca="false">COUNTBLANK(I17:I23)</f>
        <v>6</v>
      </c>
      <c r="M33" s="24"/>
      <c r="N33" s="25" t="n">
        <f aca="false">COUNTBLANK(E17:AH23)</f>
        <v>122</v>
      </c>
      <c r="Q33" s="24" t="s">
        <v>2743</v>
      </c>
      <c r="R33" s="24" t="n">
        <v>7</v>
      </c>
      <c r="S33" s="24" t="n">
        <f aca="false">R33*30</f>
        <v>210</v>
      </c>
      <c r="T33" s="24" t="n">
        <v>88</v>
      </c>
      <c r="U33" s="48" t="n">
        <f aca="false">T33/S33</f>
        <v>0.419047619047619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C34*30</f>
        <v>30</v>
      </c>
      <c r="G34" s="24" t="s">
        <v>2744</v>
      </c>
      <c r="H34" s="24"/>
      <c r="I34" s="24"/>
      <c r="J34" s="25"/>
      <c r="K34" s="24" t="s">
        <v>2744</v>
      </c>
      <c r="L34" s="24" t="n">
        <f aca="false">COUNTBLANK(I24)</f>
        <v>0</v>
      </c>
      <c r="M34" s="24"/>
      <c r="N34" s="25"/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3" t="s">
        <v>2746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COUNTIF($E$4:$AH$24,B39)</f>
        <v>8</v>
      </c>
      <c r="M39" s="75" t="s">
        <v>2737</v>
      </c>
      <c r="N39" s="54" t="s">
        <v>2749</v>
      </c>
      <c r="O39" s="54" t="s">
        <v>2750</v>
      </c>
      <c r="P39" s="54" t="s">
        <v>2751</v>
      </c>
      <c r="Q39" s="54" t="s">
        <v>2752</v>
      </c>
      <c r="R39" s="54" t="s">
        <v>2753</v>
      </c>
      <c r="S39" s="54" t="s">
        <v>2754</v>
      </c>
      <c r="T39" s="54" t="s">
        <v>2755</v>
      </c>
      <c r="U39" s="54" t="s">
        <v>36</v>
      </c>
      <c r="V39" s="54" t="s">
        <v>2756</v>
      </c>
      <c r="W39" s="54" t="s">
        <v>2757</v>
      </c>
      <c r="X39" s="54" t="s">
        <v>2758</v>
      </c>
      <c r="Y39" s="43" t="s">
        <v>2759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COUNTIF($E$4:$AH$24,B40)</f>
        <v>50</v>
      </c>
      <c r="M40" s="24" t="s">
        <v>65</v>
      </c>
      <c r="N40" s="43" t="n">
        <v>119</v>
      </c>
      <c r="O40" s="24" t="n">
        <f aca="false">COUNTIF($E$4:$AH$9,O44)</f>
        <v>0</v>
      </c>
      <c r="P40" s="24" t="n">
        <f aca="false">COUNTIF($E$4:$AH$9,P44)</f>
        <v>31</v>
      </c>
      <c r="Q40" s="24" t="n">
        <f aca="false">COUNTIF($E$4:$AH$9,Q44)</f>
        <v>2</v>
      </c>
      <c r="R40" s="24" t="n">
        <f aca="false">COUNTIF($E$4:$AH$9,R44)</f>
        <v>79</v>
      </c>
      <c r="S40" s="24" t="n">
        <f aca="false">COUNTIF($E$4:$AH$9,S44)</f>
        <v>7</v>
      </c>
      <c r="T40" s="24" t="n">
        <f aca="false">COUNTIF($E$4:$AH$9,T44)</f>
        <v>0</v>
      </c>
      <c r="U40" s="24" t="n">
        <f aca="false">COUNTIF($E$4:$AH$9,U44)</f>
        <v>0</v>
      </c>
      <c r="V40" s="24" t="n">
        <f aca="false">COUNTIF($E$4:$AH$9,V44)</f>
        <v>0</v>
      </c>
      <c r="W40" s="24" t="n">
        <f aca="false">COUNTIF($E$4:$AH$9,W44)</f>
        <v>0</v>
      </c>
      <c r="X40" s="24" t="n">
        <f aca="false">COUNTIF($E$4:$AH$9,X44)</f>
        <v>0</v>
      </c>
      <c r="Y40" s="24" t="n">
        <f aca="false">COUNTIF($E$4:$AH$9,Y44)</f>
        <v>0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COUNTIF($E$4:$AH$24,B41)</f>
        <v>27</v>
      </c>
      <c r="M41" s="24" t="s">
        <v>60</v>
      </c>
      <c r="N41" s="43" t="n">
        <v>68</v>
      </c>
      <c r="O41" s="24" t="n">
        <f aca="false">COUNTIF($E$10:$AH$13,O44)</f>
        <v>6</v>
      </c>
      <c r="P41" s="24" t="n">
        <f aca="false">COUNTIF($E$10:$AH$13,P44)</f>
        <v>14</v>
      </c>
      <c r="Q41" s="24" t="n">
        <f aca="false">COUNTIF($E$10:$AH$13,Q44)</f>
        <v>0</v>
      </c>
      <c r="R41" s="24" t="n">
        <f aca="false">COUNTIF($E$10:$AH$13,R44)</f>
        <v>47</v>
      </c>
      <c r="S41" s="24" t="n">
        <f aca="false">COUNTIF($E$10:$AH$13,S44)</f>
        <v>1</v>
      </c>
      <c r="T41" s="24" t="n">
        <f aca="false">COUNTIF($E$10:$AH$13,T44)</f>
        <v>0</v>
      </c>
      <c r="U41" s="24" t="n">
        <f aca="false">COUNTIF($E$10:$AH$13,U44)</f>
        <v>0</v>
      </c>
      <c r="V41" s="24" t="n">
        <f aca="false">COUNTIF($E$10:$AH$13,V44)</f>
        <v>0</v>
      </c>
      <c r="W41" s="24" t="n">
        <f aca="false">COUNTIF($E$10:$AH$13,W44)</f>
        <v>0</v>
      </c>
      <c r="X41" s="24" t="n">
        <f aca="false">COUNTIF($E$10:$AH$13,X44)</f>
        <v>0</v>
      </c>
      <c r="Y41" s="24" t="n">
        <f aca="false">COUNTIF($E$10:$AH$13,Y44)</f>
        <v>0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COUNTIF($E$4:$AH$24,B42)</f>
        <v>200</v>
      </c>
      <c r="M42" s="24" t="s">
        <v>71</v>
      </c>
      <c r="N42" s="43" t="n">
        <v>35</v>
      </c>
      <c r="O42" s="24" t="n">
        <f aca="false">COUNTIF($E$14:$AH$16,O44)</f>
        <v>2</v>
      </c>
      <c r="P42" s="24" t="n">
        <f aca="false">COUNTIF($E$14:$AH$16,P44)</f>
        <v>5</v>
      </c>
      <c r="Q42" s="24" t="n">
        <f aca="false">COUNTIF($E$14:$AH$16,Q44)</f>
        <v>6</v>
      </c>
      <c r="R42" s="24" t="n">
        <f aca="false">COUNTIF($E$14:$AH$16,R44)</f>
        <v>19</v>
      </c>
      <c r="S42" s="24" t="n">
        <f aca="false">COUNTIF($E$14:$AH$16,S44)</f>
        <v>2</v>
      </c>
      <c r="T42" s="24" t="n">
        <f aca="false">COUNTIF($E$14:$AH$16,T44)</f>
        <v>1</v>
      </c>
      <c r="U42" s="24" t="n">
        <f aca="false">COUNTIF($E$14:$AH$16,U44)</f>
        <v>0</v>
      </c>
      <c r="V42" s="24" t="n">
        <f aca="false">COUNTIF($E$14:$AH$16,V44)</f>
        <v>0</v>
      </c>
      <c r="W42" s="24" t="n">
        <f aca="false">COUNTIF($E$14:$AH$16,W44)</f>
        <v>0</v>
      </c>
      <c r="X42" s="24" t="n">
        <f aca="false">COUNTIF($E$14:$AH$16,X44)</f>
        <v>0</v>
      </c>
      <c r="Y42" s="24" t="n">
        <f aca="false">COUNTIF($E$14:$AH$16,Y44)</f>
        <v>0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COUNTIF($E$4:$AH$24,B43)</f>
        <v>24</v>
      </c>
      <c r="M43" s="24" t="s">
        <v>2743</v>
      </c>
      <c r="N43" s="43" t="n">
        <v>88</v>
      </c>
      <c r="O43" s="24" t="n">
        <f aca="false">COUNTIF($E$17:$AH$23,O44)</f>
        <v>0</v>
      </c>
      <c r="P43" s="24" t="n">
        <f aca="false">COUNTIF($E$17:$AH$23,P44)</f>
        <v>0</v>
      </c>
      <c r="Q43" s="24" t="n">
        <f aca="false">COUNTIF($E$17:$AH$23,Q44)</f>
        <v>19</v>
      </c>
      <c r="R43" s="24" t="n">
        <f aca="false">COUNTIF($E$17:$AH$23,R44)</f>
        <v>55</v>
      </c>
      <c r="S43" s="24" t="n">
        <f aca="false">COUNTIF($E$17:$AH$23,S44)</f>
        <v>14</v>
      </c>
      <c r="T43" s="24" t="n">
        <f aca="false">COUNTIF($E$17:$AH$23,T44)</f>
        <v>0</v>
      </c>
      <c r="U43" s="24" t="n">
        <f aca="false">COUNTIF($E$17:$AH$23,U44)</f>
        <v>0</v>
      </c>
      <c r="V43" s="24" t="n">
        <f aca="false">COUNTIF($E$17:$AH$23,V44)</f>
        <v>0</v>
      </c>
      <c r="W43" s="24" t="n">
        <f aca="false">COUNTIF($E$17:$AH$23,W44)</f>
        <v>0</v>
      </c>
      <c r="X43" s="24" t="n">
        <f aca="false">COUNTIF($E$17:$AH$23,X44)</f>
        <v>0</v>
      </c>
      <c r="Y43" s="24" t="n">
        <f aca="false">COUNTIF($E$17:$AH$23,Y44)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COUNTIF($E$4:$AH$24,B44)</f>
        <v>1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COUNTIF($E$4:$AH$24,B45)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COUNTIF($E$4:$AH$24,B46)</f>
        <v>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COUNTIF($E$4:$AH$24,B47)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COUNTIF($E$4:$AH$24,B48)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0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8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20" min="17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2786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2722</v>
      </c>
      <c r="F2" s="15" t="s">
        <v>2716</v>
      </c>
      <c r="G2" s="15" t="s">
        <v>2717</v>
      </c>
      <c r="H2" s="15" t="s">
        <v>2718</v>
      </c>
      <c r="I2" s="16" t="s">
        <v>2719</v>
      </c>
      <c r="J2" s="16" t="s">
        <v>2720</v>
      </c>
      <c r="K2" s="15" t="s">
        <v>2721</v>
      </c>
      <c r="L2" s="15" t="s">
        <v>2722</v>
      </c>
      <c r="M2" s="15" t="s">
        <v>2716</v>
      </c>
      <c r="N2" s="15" t="s">
        <v>2717</v>
      </c>
      <c r="O2" s="15" t="s">
        <v>2718</v>
      </c>
      <c r="P2" s="16" t="s">
        <v>2719</v>
      </c>
      <c r="Q2" s="16" t="s">
        <v>2720</v>
      </c>
      <c r="R2" s="15" t="s">
        <v>2721</v>
      </c>
      <c r="S2" s="15" t="s">
        <v>2722</v>
      </c>
      <c r="T2" s="15" t="s">
        <v>2716</v>
      </c>
      <c r="U2" s="15" t="s">
        <v>2717</v>
      </c>
      <c r="V2" s="15" t="s">
        <v>2718</v>
      </c>
      <c r="W2" s="16" t="s">
        <v>2719</v>
      </c>
      <c r="X2" s="16" t="s">
        <v>2720</v>
      </c>
      <c r="Y2" s="15" t="s">
        <v>2721</v>
      </c>
      <c r="Z2" s="15" t="s">
        <v>2722</v>
      </c>
      <c r="AA2" s="15" t="s">
        <v>2716</v>
      </c>
      <c r="AB2" s="15" t="s">
        <v>2717</v>
      </c>
      <c r="AC2" s="15" t="s">
        <v>2718</v>
      </c>
      <c r="AD2" s="16" t="s">
        <v>2719</v>
      </c>
      <c r="AE2" s="16" t="s">
        <v>2720</v>
      </c>
      <c r="AF2" s="15" t="s">
        <v>2721</v>
      </c>
      <c r="AG2" s="15" t="s">
        <v>2722</v>
      </c>
      <c r="AH2" s="15" t="s">
        <v>2716</v>
      </c>
      <c r="AI2" s="15" t="s">
        <v>2717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45566</v>
      </c>
      <c r="F3" s="19" t="n">
        <v>45567</v>
      </c>
      <c r="G3" s="19" t="n">
        <v>45568</v>
      </c>
      <c r="H3" s="19" t="n">
        <v>45569</v>
      </c>
      <c r="I3" s="19" t="n">
        <v>45570</v>
      </c>
      <c r="J3" s="19" t="n">
        <v>45571</v>
      </c>
      <c r="K3" s="19" t="n">
        <v>45572</v>
      </c>
      <c r="L3" s="19" t="n">
        <v>45573</v>
      </c>
      <c r="M3" s="19" t="n">
        <v>45574</v>
      </c>
      <c r="N3" s="19" t="n">
        <v>45575</v>
      </c>
      <c r="O3" s="19" t="n">
        <v>45576</v>
      </c>
      <c r="P3" s="19" t="n">
        <v>45577</v>
      </c>
      <c r="Q3" s="19" t="n">
        <v>45578</v>
      </c>
      <c r="R3" s="19" t="n">
        <v>45579</v>
      </c>
      <c r="S3" s="19" t="n">
        <v>45580</v>
      </c>
      <c r="T3" s="19" t="n">
        <v>45581</v>
      </c>
      <c r="U3" s="19" t="n">
        <v>45582</v>
      </c>
      <c r="V3" s="19" t="n">
        <v>45583</v>
      </c>
      <c r="W3" s="19" t="n">
        <v>45584</v>
      </c>
      <c r="X3" s="19" t="n">
        <v>45585</v>
      </c>
      <c r="Y3" s="19" t="n">
        <v>45586</v>
      </c>
      <c r="Z3" s="19" t="n">
        <v>45587</v>
      </c>
      <c r="AA3" s="19" t="n">
        <v>45588</v>
      </c>
      <c r="AB3" s="19" t="n">
        <v>45589</v>
      </c>
      <c r="AC3" s="19" t="n">
        <v>45590</v>
      </c>
      <c r="AD3" s="19" t="n">
        <v>45591</v>
      </c>
      <c r="AE3" s="19" t="n">
        <v>45592</v>
      </c>
      <c r="AF3" s="19" t="n">
        <v>45593</v>
      </c>
      <c r="AG3" s="19" t="n">
        <v>45594</v>
      </c>
      <c r="AH3" s="19" t="n">
        <v>45595</v>
      </c>
      <c r="AI3" s="19" t="n">
        <v>45596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 t="s">
        <v>43</v>
      </c>
      <c r="F4" s="24"/>
      <c r="G4" s="24"/>
      <c r="H4" s="24" t="s">
        <v>43</v>
      </c>
      <c r="I4" s="24"/>
      <c r="J4" s="24"/>
      <c r="K4" s="24"/>
      <c r="L4" s="24" t="s">
        <v>43</v>
      </c>
      <c r="M4" s="115" t="s">
        <v>43</v>
      </c>
      <c r="N4" s="115" t="s">
        <v>43</v>
      </c>
      <c r="O4" s="115" t="s">
        <v>43</v>
      </c>
      <c r="P4" s="24"/>
      <c r="Q4" s="24" t="s">
        <v>2764</v>
      </c>
      <c r="R4" s="24"/>
      <c r="S4" s="24" t="s">
        <v>2760</v>
      </c>
      <c r="T4" s="24" t="s">
        <v>2760</v>
      </c>
      <c r="U4" s="24" t="s">
        <v>43</v>
      </c>
      <c r="V4" s="24" t="s">
        <v>43</v>
      </c>
      <c r="W4" s="24" t="s">
        <v>43</v>
      </c>
      <c r="X4" s="24"/>
      <c r="Y4" s="24"/>
      <c r="Z4" s="24"/>
      <c r="AA4" s="24" t="s">
        <v>2761</v>
      </c>
      <c r="AB4" s="24"/>
      <c r="AC4" s="24"/>
      <c r="AD4" s="24"/>
      <c r="AE4" s="24"/>
      <c r="AF4" s="24"/>
      <c r="AG4" s="24"/>
      <c r="AH4" s="24" t="s">
        <v>2727</v>
      </c>
      <c r="AI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/>
      <c r="F5" s="24"/>
      <c r="G5" s="24"/>
      <c r="H5" s="24" t="s">
        <v>43</v>
      </c>
      <c r="I5" s="24" t="s">
        <v>43</v>
      </c>
      <c r="J5" s="24" t="s">
        <v>43</v>
      </c>
      <c r="K5" s="24"/>
      <c r="L5" s="24" t="s">
        <v>43</v>
      </c>
      <c r="M5" s="24" t="s">
        <v>43</v>
      </c>
      <c r="N5" s="24"/>
      <c r="O5" s="24" t="s">
        <v>2760</v>
      </c>
      <c r="P5" s="24"/>
      <c r="Q5" s="24" t="s">
        <v>2764</v>
      </c>
      <c r="R5" s="24" t="s">
        <v>2764</v>
      </c>
      <c r="S5" s="24" t="s">
        <v>2764</v>
      </c>
      <c r="T5" s="24" t="s">
        <v>2764</v>
      </c>
      <c r="U5" s="24" t="s">
        <v>2764</v>
      </c>
      <c r="V5" s="24" t="s">
        <v>2764</v>
      </c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 t="s">
        <v>2760</v>
      </c>
      <c r="G6" s="24"/>
      <c r="H6" s="24" t="s">
        <v>43</v>
      </c>
      <c r="I6" s="24" t="s">
        <v>2760</v>
      </c>
      <c r="J6" s="24"/>
      <c r="K6" s="24"/>
      <c r="L6" s="24"/>
      <c r="M6" s="115" t="s">
        <v>43</v>
      </c>
      <c r="N6" s="115" t="s">
        <v>43</v>
      </c>
      <c r="O6" s="115" t="s">
        <v>43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 t="s">
        <v>43</v>
      </c>
      <c r="G7" s="24"/>
      <c r="H7" s="24" t="s">
        <v>43</v>
      </c>
      <c r="I7" s="24" t="s">
        <v>43</v>
      </c>
      <c r="J7" s="24" t="s">
        <v>43</v>
      </c>
      <c r="K7" s="24" t="s">
        <v>43</v>
      </c>
      <c r="L7" s="24"/>
      <c r="M7" s="115" t="s">
        <v>43</v>
      </c>
      <c r="N7" s="115" t="s">
        <v>43</v>
      </c>
      <c r="O7" s="115" t="s">
        <v>43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 t="s">
        <v>43</v>
      </c>
      <c r="F8" s="24"/>
      <c r="G8" s="24" t="s">
        <v>43</v>
      </c>
      <c r="H8" s="24"/>
      <c r="I8" s="24"/>
      <c r="J8" s="24" t="s">
        <v>2764</v>
      </c>
      <c r="K8" s="24"/>
      <c r="L8" s="24" t="s">
        <v>2762</v>
      </c>
      <c r="M8" s="24" t="s">
        <v>2760</v>
      </c>
      <c r="N8" s="24" t="s">
        <v>2760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/>
      <c r="F9" s="24"/>
      <c r="G9" s="24"/>
      <c r="H9" s="24"/>
      <c r="I9" s="24"/>
      <c r="J9" s="24"/>
      <c r="K9" s="24"/>
      <c r="M9" s="24" t="s">
        <v>2760</v>
      </c>
      <c r="N9" s="24" t="s">
        <v>2760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/>
      <c r="F10" s="24"/>
      <c r="G10" s="24"/>
      <c r="H10" s="24"/>
      <c r="I10" s="24"/>
      <c r="J10" s="24"/>
      <c r="K10" s="24" t="s">
        <v>2760</v>
      </c>
      <c r="L10" s="24"/>
      <c r="M10" s="115" t="s">
        <v>43</v>
      </c>
      <c r="N10" s="115" t="s">
        <v>43</v>
      </c>
      <c r="O10" s="115" t="s">
        <v>43</v>
      </c>
      <c r="P10" s="24"/>
      <c r="Q10" s="24"/>
      <c r="R10" s="24"/>
      <c r="S10" s="24"/>
      <c r="T10" s="24"/>
      <c r="U10" s="24"/>
      <c r="V10" s="24" t="s">
        <v>2760</v>
      </c>
      <c r="W10" s="24" t="s">
        <v>2760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 t="s">
        <v>43</v>
      </c>
      <c r="H11" s="24" t="s">
        <v>43</v>
      </c>
      <c r="I11" s="24" t="s">
        <v>43</v>
      </c>
      <c r="J11" s="24"/>
      <c r="K11" s="24"/>
      <c r="L11" s="24" t="s">
        <v>43</v>
      </c>
      <c r="M11" s="24" t="s">
        <v>43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 t="s">
        <v>2761</v>
      </c>
      <c r="K12" s="24" t="s">
        <v>2760</v>
      </c>
      <c r="L12" s="24" t="s">
        <v>2760</v>
      </c>
      <c r="M12" s="24" t="s">
        <v>2760</v>
      </c>
      <c r="N12" s="24" t="s">
        <v>2760</v>
      </c>
      <c r="O12" s="24" t="s">
        <v>2760</v>
      </c>
      <c r="P12" s="24" t="s">
        <v>2760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 t="s">
        <v>43</v>
      </c>
      <c r="F13" s="24" t="s">
        <v>43</v>
      </c>
      <c r="G13" s="24"/>
      <c r="H13" s="24"/>
      <c r="I13" s="24"/>
      <c r="J13" s="24"/>
      <c r="K13" s="24"/>
      <c r="L13" s="24"/>
      <c r="M13" s="24" t="s">
        <v>43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/>
      <c r="F14" s="24"/>
      <c r="G14" s="24"/>
      <c r="H14" s="24"/>
      <c r="I14" s="24"/>
      <c r="J14" s="24"/>
      <c r="K14" s="24"/>
      <c r="L14" s="24" t="s">
        <v>43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 t="s">
        <v>2762</v>
      </c>
      <c r="AH14" s="24" t="s">
        <v>2762</v>
      </c>
      <c r="AI14" s="24" t="s">
        <v>2762</v>
      </c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/>
      <c r="F15" s="24"/>
      <c r="G15" s="24"/>
      <c r="H15" s="24"/>
      <c r="I15" s="24"/>
      <c r="J15" s="24"/>
      <c r="K15" s="24"/>
      <c r="L15" s="24" t="s">
        <v>43</v>
      </c>
      <c r="M15" s="24" t="s">
        <v>43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 t="s">
        <v>2764</v>
      </c>
      <c r="AI15" s="24" t="s">
        <v>2764</v>
      </c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 t="s">
        <v>2729</v>
      </c>
      <c r="F16" s="24" t="s">
        <v>2729</v>
      </c>
      <c r="G16" s="24" t="s">
        <v>2729</v>
      </c>
      <c r="H16" s="24" t="s">
        <v>2729</v>
      </c>
      <c r="I16" s="24" t="s">
        <v>2729</v>
      </c>
      <c r="J16" s="24" t="s">
        <v>2729</v>
      </c>
      <c r="K16" s="24" t="s">
        <v>2729</v>
      </c>
      <c r="L16" s="24" t="s">
        <v>2729</v>
      </c>
      <c r="M16" s="24" t="s">
        <v>2729</v>
      </c>
      <c r="N16" s="24" t="s">
        <v>2729</v>
      </c>
      <c r="O16" s="24" t="s">
        <v>2729</v>
      </c>
      <c r="P16" s="24" t="s">
        <v>2729</v>
      </c>
      <c r="Q16" s="24" t="s">
        <v>2729</v>
      </c>
      <c r="R16" s="24" t="s">
        <v>2729</v>
      </c>
      <c r="S16" s="24" t="s">
        <v>2729</v>
      </c>
      <c r="T16" s="24" t="s">
        <v>2729</v>
      </c>
      <c r="U16" s="24" t="s">
        <v>2729</v>
      </c>
      <c r="V16" s="24" t="s">
        <v>2729</v>
      </c>
      <c r="W16" s="24" t="s">
        <v>2729</v>
      </c>
      <c r="X16" s="24" t="s">
        <v>2729</v>
      </c>
      <c r="Y16" s="24" t="s">
        <v>2729</v>
      </c>
      <c r="Z16" s="24" t="s">
        <v>2729</v>
      </c>
      <c r="AA16" s="24" t="s">
        <v>2729</v>
      </c>
      <c r="AB16" s="24" t="s">
        <v>2729</v>
      </c>
      <c r="AC16" s="24" t="s">
        <v>2729</v>
      </c>
      <c r="AD16" s="24" t="s">
        <v>2729</v>
      </c>
      <c r="AE16" s="24" t="s">
        <v>2729</v>
      </c>
      <c r="AF16" s="24" t="s">
        <v>2729</v>
      </c>
      <c r="AG16" s="24" t="s">
        <v>2729</v>
      </c>
      <c r="AH16" s="24" t="s">
        <v>2729</v>
      </c>
      <c r="AI16" s="24" t="s">
        <v>2729</v>
      </c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 t="s">
        <v>43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 t="s">
        <v>2760</v>
      </c>
      <c r="W17" s="24" t="s">
        <v>2760</v>
      </c>
      <c r="X17" s="24" t="s">
        <v>2760</v>
      </c>
      <c r="Y17" s="24" t="s">
        <v>2760</v>
      </c>
      <c r="Z17" s="24" t="s">
        <v>2760</v>
      </c>
      <c r="AA17" s="24"/>
      <c r="AB17" s="24"/>
      <c r="AC17" s="24"/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 t="s">
        <v>43</v>
      </c>
      <c r="F18" s="24"/>
      <c r="G18" s="24"/>
      <c r="H18" s="24"/>
      <c r="I18" s="24" t="s">
        <v>2762</v>
      </c>
      <c r="J18" s="24" t="s">
        <v>2762</v>
      </c>
      <c r="K18" s="24"/>
      <c r="L18" s="24"/>
      <c r="M18" s="24" t="s">
        <v>2762</v>
      </c>
      <c r="N18" s="24" t="s">
        <v>2760</v>
      </c>
      <c r="O18" s="24" t="s">
        <v>2760</v>
      </c>
      <c r="P18" s="24" t="s">
        <v>2760</v>
      </c>
      <c r="Q18" s="24" t="s">
        <v>2760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 t="s">
        <v>43</v>
      </c>
      <c r="F19" s="24" t="s">
        <v>43</v>
      </c>
      <c r="G19" s="24" t="s">
        <v>43</v>
      </c>
      <c r="H19" s="24" t="s">
        <v>43</v>
      </c>
      <c r="I19" s="24" t="s">
        <v>43</v>
      </c>
      <c r="J19" s="24" t="s">
        <v>43</v>
      </c>
      <c r="K19" s="24" t="s">
        <v>43</v>
      </c>
      <c r="L19" s="24" t="s">
        <v>43</v>
      </c>
      <c r="M19" s="24" t="s">
        <v>43</v>
      </c>
      <c r="N19" s="24" t="s">
        <v>43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24" t="s">
        <v>43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 t="s">
        <v>43</v>
      </c>
      <c r="AI21" s="24" t="s">
        <v>43</v>
      </c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customFormat="false" ht="15.75" hidden="false" customHeight="true" outlineLevel="0" collapsed="false">
      <c r="A23" s="33" t="n">
        <v>20</v>
      </c>
      <c r="B23" s="34" t="s">
        <v>31</v>
      </c>
      <c r="C23" s="35" t="n">
        <v>703</v>
      </c>
      <c r="D23" s="23" t="n">
        <v>2</v>
      </c>
      <c r="E23" s="24" t="s">
        <v>2729</v>
      </c>
      <c r="F23" s="24" t="s">
        <v>2729</v>
      </c>
      <c r="G23" s="24" t="s">
        <v>2729</v>
      </c>
      <c r="H23" s="24" t="s">
        <v>2729</v>
      </c>
      <c r="I23" s="24" t="s">
        <v>2729</v>
      </c>
      <c r="J23" s="24" t="s">
        <v>2729</v>
      </c>
      <c r="K23" s="24" t="s">
        <v>2729</v>
      </c>
      <c r="L23" s="24" t="s">
        <v>2729</v>
      </c>
      <c r="M23" s="24" t="s">
        <v>2729</v>
      </c>
      <c r="N23" s="24" t="s">
        <v>2729</v>
      </c>
      <c r="O23" s="24" t="s">
        <v>2729</v>
      </c>
      <c r="P23" s="24" t="s">
        <v>2729</v>
      </c>
      <c r="Q23" s="24" t="s">
        <v>2729</v>
      </c>
      <c r="R23" s="24" t="s">
        <v>2729</v>
      </c>
      <c r="S23" s="24" t="s">
        <v>2729</v>
      </c>
      <c r="T23" s="24" t="s">
        <v>2729</v>
      </c>
      <c r="U23" s="24" t="s">
        <v>2729</v>
      </c>
      <c r="V23" s="24" t="s">
        <v>2729</v>
      </c>
      <c r="W23" s="24" t="s">
        <v>2729</v>
      </c>
      <c r="X23" s="24" t="s">
        <v>2729</v>
      </c>
      <c r="Y23" s="24" t="s">
        <v>2729</v>
      </c>
      <c r="Z23" s="24" t="s">
        <v>2729</v>
      </c>
      <c r="AA23" s="24" t="s">
        <v>2729</v>
      </c>
      <c r="AB23" s="24" t="s">
        <v>2729</v>
      </c>
      <c r="AC23" s="24" t="s">
        <v>2729</v>
      </c>
      <c r="AD23" s="24" t="s">
        <v>2729</v>
      </c>
      <c r="AE23" s="24" t="s">
        <v>2729</v>
      </c>
      <c r="AF23" s="24" t="s">
        <v>2729</v>
      </c>
      <c r="AG23" s="24" t="s">
        <v>2729</v>
      </c>
      <c r="AH23" s="24" t="s">
        <v>2729</v>
      </c>
      <c r="AI23" s="24" t="s">
        <v>2729</v>
      </c>
    </row>
    <row r="24" customFormat="false" ht="15.75" hidden="false" customHeight="true" outlineLevel="0" collapsed="false">
      <c r="A24" s="38" t="n">
        <v>21</v>
      </c>
      <c r="B24" s="50" t="s">
        <v>209</v>
      </c>
      <c r="C24" s="50" t="s">
        <v>209</v>
      </c>
      <c r="D24" s="23" t="n">
        <v>1</v>
      </c>
      <c r="E24" s="24" t="s">
        <v>2729</v>
      </c>
      <c r="F24" s="24" t="s">
        <v>2729</v>
      </c>
      <c r="G24" s="24" t="s">
        <v>2729</v>
      </c>
      <c r="H24" s="24" t="s">
        <v>2729</v>
      </c>
      <c r="I24" s="24" t="s">
        <v>2729</v>
      </c>
      <c r="J24" s="24" t="s">
        <v>2729</v>
      </c>
      <c r="K24" s="24" t="s">
        <v>2729</v>
      </c>
      <c r="L24" s="24" t="s">
        <v>2729</v>
      </c>
      <c r="M24" s="24" t="s">
        <v>2729</v>
      </c>
      <c r="N24" s="24" t="s">
        <v>2729</v>
      </c>
      <c r="O24" s="24" t="s">
        <v>2729</v>
      </c>
      <c r="P24" s="24" t="s">
        <v>2729</v>
      </c>
      <c r="Q24" s="24" t="s">
        <v>2729</v>
      </c>
      <c r="R24" s="24" t="s">
        <v>2729</v>
      </c>
      <c r="S24" s="24" t="s">
        <v>2729</v>
      </c>
      <c r="T24" s="24" t="s">
        <v>2729</v>
      </c>
      <c r="U24" s="24" t="s">
        <v>2729</v>
      </c>
      <c r="V24" s="24" t="s">
        <v>2729</v>
      </c>
      <c r="W24" s="24" t="s">
        <v>2729</v>
      </c>
      <c r="X24" s="24" t="s">
        <v>2729</v>
      </c>
      <c r="Y24" s="24" t="s">
        <v>2729</v>
      </c>
      <c r="Z24" s="24" t="s">
        <v>2729</v>
      </c>
      <c r="AA24" s="24" t="s">
        <v>2729</v>
      </c>
      <c r="AB24" s="24" t="s">
        <v>2729</v>
      </c>
      <c r="AC24" s="24" t="s">
        <v>2729</v>
      </c>
      <c r="AD24" s="24" t="s">
        <v>2729</v>
      </c>
      <c r="AE24" s="24" t="s">
        <v>2729</v>
      </c>
      <c r="AF24" s="24" t="s">
        <v>2729</v>
      </c>
      <c r="AG24" s="24" t="s">
        <v>2729</v>
      </c>
      <c r="AH24" s="24" t="s">
        <v>2729</v>
      </c>
      <c r="AI24" s="24"/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2" t="s">
        <v>2732</v>
      </c>
      <c r="R28" s="42"/>
      <c r="S28" s="42"/>
      <c r="T28" s="42"/>
      <c r="U28" s="42"/>
    </row>
    <row r="29" customFormat="false" ht="15.75" hidden="false" customHeight="true" outlineLevel="0" collapsed="false">
      <c r="B29" s="24" t="s">
        <v>2740</v>
      </c>
      <c r="C29" s="24" t="n">
        <f aca="false">SUM(C30:C33)</f>
        <v>19</v>
      </c>
      <c r="D29" s="44" t="n">
        <f aca="false">C29*7</f>
        <v>133</v>
      </c>
      <c r="E29" s="24" t="n">
        <f aca="false">C29*31</f>
        <v>589</v>
      </c>
      <c r="G29" s="44"/>
      <c r="H29" s="47" t="n">
        <v>45566</v>
      </c>
      <c r="I29" s="44" t="s">
        <v>2787</v>
      </c>
      <c r="J29" s="44" t="s">
        <v>2788</v>
      </c>
      <c r="K29" s="44"/>
      <c r="L29" s="47" t="n">
        <v>45566</v>
      </c>
      <c r="M29" s="44" t="s">
        <v>2787</v>
      </c>
      <c r="N29" s="44" t="s">
        <v>2788</v>
      </c>
      <c r="Q29" s="45" t="s">
        <v>2733</v>
      </c>
      <c r="R29" s="46" t="s">
        <v>2734</v>
      </c>
      <c r="S29" s="46" t="s">
        <v>2736</v>
      </c>
      <c r="T29" s="46" t="s">
        <v>2738</v>
      </c>
      <c r="U29" s="46" t="s">
        <v>2739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3</v>
      </c>
      <c r="I30" s="24" t="n">
        <f aca="false">COUNTA(J4:P9)</f>
        <v>22</v>
      </c>
      <c r="J30" s="24" t="n">
        <f aca="false">COUNTA(E4:AI9)</f>
        <v>49</v>
      </c>
      <c r="K30" s="24" t="s">
        <v>65</v>
      </c>
      <c r="L30" s="24" t="n">
        <f aca="false">COUNTBLANK(E4:E9)</f>
        <v>3</v>
      </c>
      <c r="M30" s="24" t="n">
        <f aca="false">COUNTBLANK(J4:P9)</f>
        <v>20</v>
      </c>
      <c r="N30" s="49" t="n">
        <f aca="false">COUNTBLANK(E4:AI9)</f>
        <v>137</v>
      </c>
      <c r="Q30" s="36" t="s">
        <v>2740</v>
      </c>
      <c r="R30" s="78" t="n">
        <f aca="false">SUM(R31:R34)</f>
        <v>19</v>
      </c>
      <c r="S30" s="78" t="n">
        <f aca="false">SUM(S31:S34)</f>
        <v>589</v>
      </c>
      <c r="T30" s="78" t="n">
        <f aca="false">SUM(T31:T34)</f>
        <v>105</v>
      </c>
      <c r="U30" s="116" t="n">
        <f aca="false">T30/S30</f>
        <v>0.178268251273345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49" t="n">
        <f aca="false">COUNTA(E10:E13)</f>
        <v>1</v>
      </c>
      <c r="I31" s="24"/>
      <c r="J31" s="24" t="n">
        <f aca="false">COUNTA(E10:AI13)</f>
        <v>21</v>
      </c>
      <c r="K31" s="24" t="s">
        <v>60</v>
      </c>
      <c r="L31" s="49" t="n">
        <f aca="false">COUNTBLANK(I10:I14)</f>
        <v>4</v>
      </c>
      <c r="M31" s="24"/>
      <c r="N31" s="24" t="n">
        <f aca="false">COUNTBLANK(E10:AI13)</f>
        <v>103</v>
      </c>
      <c r="Q31" s="24" t="s">
        <v>65</v>
      </c>
      <c r="R31" s="78" t="n">
        <v>6</v>
      </c>
      <c r="S31" s="78" t="n">
        <v>186</v>
      </c>
      <c r="T31" s="78" t="n">
        <f aca="false">J30</f>
        <v>49</v>
      </c>
      <c r="U31" s="117" t="n">
        <f aca="false">T31/S31</f>
        <v>0.263440860215054</v>
      </c>
    </row>
    <row r="32" customFormat="false" ht="15.75" hidden="false" customHeight="true" outlineLevel="0" collapsed="false">
      <c r="B32" s="24" t="s">
        <v>71</v>
      </c>
      <c r="C32" s="24" t="n"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49" t="n">
        <f aca="false">COUNTA(E14:E16)</f>
        <v>1</v>
      </c>
      <c r="I32" s="24"/>
      <c r="J32" s="24" t="n">
        <f aca="false">COUNTA(E14:AI15)</f>
        <v>8</v>
      </c>
      <c r="K32" s="24" t="s">
        <v>71</v>
      </c>
      <c r="L32" s="49" t="n">
        <f aca="false">COUNTBLANK(I14:I16)</f>
        <v>2</v>
      </c>
      <c r="M32" s="24"/>
      <c r="N32" s="24" t="n">
        <f aca="false">COUNTBLANK(E14:AI15)</f>
        <v>54</v>
      </c>
      <c r="Q32" s="24" t="s">
        <v>60</v>
      </c>
      <c r="R32" s="78" t="n">
        <v>4</v>
      </c>
      <c r="S32" s="78" t="n">
        <v>124</v>
      </c>
      <c r="T32" s="78" t="n">
        <f aca="false">J31</f>
        <v>21</v>
      </c>
      <c r="U32" s="117" t="n">
        <f aca="false">T32/S32</f>
        <v>0.169354838709677</v>
      </c>
    </row>
    <row r="33" customFormat="false" ht="15.75" hidden="false" customHeight="true" outlineLevel="0" collapsed="false">
      <c r="B33" s="24" t="s">
        <v>2743</v>
      </c>
      <c r="C33" s="24" t="n">
        <v>6</v>
      </c>
      <c r="D33" s="44" t="n">
        <f aca="false">C33*7</f>
        <v>42</v>
      </c>
      <c r="E33" s="24" t="n">
        <f aca="false">C33*31</f>
        <v>186</v>
      </c>
      <c r="G33" s="24" t="s">
        <v>2743</v>
      </c>
      <c r="H33" s="49" t="n">
        <f aca="false">COUNTA(E17:E23)</f>
        <v>3</v>
      </c>
      <c r="I33" s="24"/>
      <c r="J33" s="24" t="n">
        <f aca="false">COUNTA(E17:AI22)</f>
        <v>27</v>
      </c>
      <c r="K33" s="24" t="s">
        <v>2743</v>
      </c>
      <c r="L33" s="49" t="n">
        <f aca="false">COUNTBLANK(I17:I23)</f>
        <v>4</v>
      </c>
      <c r="M33" s="24"/>
      <c r="N33" s="24" t="n">
        <f aca="false">COUNTBLANK(E17:AI22)</f>
        <v>159</v>
      </c>
      <c r="Q33" s="24" t="s">
        <v>71</v>
      </c>
      <c r="R33" s="78" t="n">
        <v>3</v>
      </c>
      <c r="S33" s="78" t="n">
        <v>93</v>
      </c>
      <c r="T33" s="78" t="n">
        <f aca="false">J32</f>
        <v>8</v>
      </c>
      <c r="U33" s="117" t="n">
        <f aca="false">T33/S33</f>
        <v>0.0860215053763441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C34*31</f>
        <v>31</v>
      </c>
      <c r="G34" s="24"/>
      <c r="H34" s="24"/>
      <c r="I34" s="24"/>
      <c r="J34" s="24"/>
      <c r="K34" s="24"/>
      <c r="L34" s="24"/>
      <c r="M34" s="24"/>
      <c r="N34" s="24"/>
      <c r="Q34" s="24" t="s">
        <v>2743</v>
      </c>
      <c r="R34" s="78" t="n">
        <v>6</v>
      </c>
      <c r="S34" s="78" t="n">
        <v>186</v>
      </c>
      <c r="T34" s="78" t="n">
        <f aca="false">J33</f>
        <v>27</v>
      </c>
      <c r="U34" s="117" t="n">
        <f aca="false">T34/S34</f>
        <v>0.145161290322581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3" t="s">
        <v>2746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COUNTIF($E$4:$AI$24,B39)</f>
        <v>27</v>
      </c>
      <c r="M39" s="75" t="s">
        <v>2737</v>
      </c>
      <c r="N39" s="54" t="s">
        <v>2749</v>
      </c>
      <c r="O39" s="54" t="s">
        <v>2750</v>
      </c>
      <c r="P39" s="54" t="s">
        <v>2751</v>
      </c>
      <c r="Q39" s="54" t="s">
        <v>2752</v>
      </c>
      <c r="R39" s="54" t="s">
        <v>2753</v>
      </c>
      <c r="S39" s="54" t="s">
        <v>2754</v>
      </c>
      <c r="T39" s="54" t="s">
        <v>2755</v>
      </c>
      <c r="U39" s="54" t="s">
        <v>36</v>
      </c>
      <c r="V39" s="54" t="s">
        <v>2756</v>
      </c>
      <c r="W39" s="54" t="s">
        <v>2757</v>
      </c>
      <c r="X39" s="54" t="s">
        <v>2758</v>
      </c>
      <c r="Y39" s="43" t="s">
        <v>2759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COUNTIF($E$4:$AI$24,B40)</f>
        <v>2</v>
      </c>
      <c r="M40" s="24" t="s">
        <v>65</v>
      </c>
      <c r="N40" s="77" t="n">
        <f aca="false">J30</f>
        <v>49</v>
      </c>
      <c r="O40" s="78" t="n">
        <f aca="false">COUNTIF($E$4:$AI$9,O44)</f>
        <v>9</v>
      </c>
      <c r="P40" s="78" t="n">
        <f aca="false">COUNTIF($E$4:$AI$9,P44)</f>
        <v>1</v>
      </c>
      <c r="Q40" s="78" t="n">
        <f aca="false">COUNTIF($E$4:$AI$9,Q44)</f>
        <v>1</v>
      </c>
      <c r="R40" s="78" t="n">
        <f aca="false">COUNTIF($E$4:$AI$9,R44)</f>
        <v>29</v>
      </c>
      <c r="S40" s="78" t="n">
        <f aca="false">COUNTIF($E$4:$AI$9,S44)</f>
        <v>1</v>
      </c>
      <c r="T40" s="78" t="n">
        <f aca="false">COUNTIF($E$4:$AI$9,T44)</f>
        <v>0</v>
      </c>
      <c r="U40" s="78" t="n">
        <f aca="false">COUNTIF($E$4:$AI$9,U44)</f>
        <v>0</v>
      </c>
      <c r="V40" s="78" t="n">
        <f aca="false">COUNTIF($E$4:$AI$9,V44)</f>
        <v>8</v>
      </c>
      <c r="W40" s="78" t="n">
        <f aca="false">COUNTIF($E$4:$AI$9,W44)</f>
        <v>0</v>
      </c>
      <c r="X40" s="78" t="n">
        <f aca="false">COUNTIF($E$4:$AI$9,X44)</f>
        <v>0</v>
      </c>
      <c r="Y40" s="78" t="n">
        <f aca="false">COUNTIF($E$4:$AI$9,Y44)</f>
        <v>0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COUNTIF($E$4:$AI$24,B41)</f>
        <v>7</v>
      </c>
      <c r="M41" s="24" t="s">
        <v>60</v>
      </c>
      <c r="N41" s="77" t="n">
        <f aca="false">J31</f>
        <v>21</v>
      </c>
      <c r="O41" s="78" t="n">
        <f aca="false">COUNTIF($E$10:$AI$13,O44)</f>
        <v>9</v>
      </c>
      <c r="P41" s="78" t="n">
        <f aca="false">COUNTIF($E$10:$AI$13,P44)</f>
        <v>1</v>
      </c>
      <c r="Q41" s="78" t="n">
        <f aca="false">COUNTIF($E$10:$AI$13,Q44)</f>
        <v>0</v>
      </c>
      <c r="R41" s="78" t="n">
        <f aca="false">COUNTIF($E$10:$AI$13,R44)</f>
        <v>11</v>
      </c>
      <c r="S41" s="78" t="n">
        <f aca="false">COUNTIF($E$10:$AI$13,S44)</f>
        <v>0</v>
      </c>
      <c r="T41" s="78" t="n">
        <f aca="false">COUNTIF($E$10:$AI$13,T44)</f>
        <v>0</v>
      </c>
      <c r="U41" s="78" t="n">
        <f aca="false">COUNTIF($E$10:$AI$13,U44)</f>
        <v>0</v>
      </c>
      <c r="V41" s="78" t="n">
        <f aca="false">COUNTIF($E$10:$AI$13,V44)</f>
        <v>0</v>
      </c>
      <c r="W41" s="78" t="n">
        <f aca="false">COUNTIF($E$10:$AI$13,W44)</f>
        <v>0</v>
      </c>
      <c r="X41" s="78" t="n">
        <f aca="false">COUNTIF($E$10:$AI$13,X44)</f>
        <v>0</v>
      </c>
      <c r="Y41" s="78" t="n">
        <f aca="false">COUNTIF($E$10:$AI$13,Y44)</f>
        <v>0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COUNTIF($E$4:$AI$24,B42)</f>
        <v>58</v>
      </c>
      <c r="M42" s="24" t="s">
        <v>71</v>
      </c>
      <c r="N42" s="77" t="n">
        <f aca="false">J32</f>
        <v>8</v>
      </c>
      <c r="O42" s="78" t="n">
        <f aca="false">COUNTIF($E$14:$AI$16,O44)</f>
        <v>0</v>
      </c>
      <c r="P42" s="78" t="n">
        <f aca="false">COUNTIF($E$14:$AI$16,P44)</f>
        <v>0</v>
      </c>
      <c r="Q42" s="78" t="n">
        <f aca="false">COUNTIF($E$14:$AI$16,Q44)</f>
        <v>3</v>
      </c>
      <c r="R42" s="78" t="n">
        <f aca="false">COUNTIF($E$14:$AI$16,R44)</f>
        <v>3</v>
      </c>
      <c r="S42" s="78" t="n">
        <f aca="false">COUNTIF($E$14:$AI$16,S44)</f>
        <v>0</v>
      </c>
      <c r="T42" s="78" t="n">
        <f aca="false">COUNTIF($E$14:$AI$16,T44)</f>
        <v>0</v>
      </c>
      <c r="U42" s="78" t="n">
        <f aca="false">COUNTIF($E$14:$AI$16,U44)</f>
        <v>0</v>
      </c>
      <c r="V42" s="78" t="n">
        <f aca="false">COUNTIF($E$14:$AI$16,V44)</f>
        <v>2</v>
      </c>
      <c r="W42" s="78" t="n">
        <f aca="false">COUNTIF($E$14:$AI$16,W44)</f>
        <v>0</v>
      </c>
      <c r="X42" s="78" t="n">
        <f aca="false">COUNTIF($E$14:$AI$16,X44)</f>
        <v>0</v>
      </c>
      <c r="Y42" s="78" t="n">
        <f aca="false">COUNTIF($E$14:$AI$16,Y44)</f>
        <v>0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COUNTIF($E$4:$AI$24,B43)</f>
        <v>1</v>
      </c>
      <c r="M43" s="24" t="s">
        <v>2743</v>
      </c>
      <c r="N43" s="77" t="n">
        <f aca="false">J33</f>
        <v>27</v>
      </c>
      <c r="O43" s="78" t="n">
        <f aca="false">COUNTIF($E$17:$AI$23,O44)</f>
        <v>9</v>
      </c>
      <c r="P43" s="78" t="n">
        <f aca="false">COUNTIF($E$17:$AI$23,P44)</f>
        <v>0</v>
      </c>
      <c r="Q43" s="78" t="n">
        <f aca="false">COUNTIF($E$17:$AI$23,Q44)</f>
        <v>3</v>
      </c>
      <c r="R43" s="78" t="n">
        <f aca="false">COUNTIF($E$17:$AI$23,R44)</f>
        <v>15</v>
      </c>
      <c r="S43" s="78" t="n">
        <f aca="false">COUNTIF($E$17:$AI$23,S44)</f>
        <v>0</v>
      </c>
      <c r="T43" s="78" t="n">
        <f aca="false">COUNTIF($E$17:$AI$23,T44)</f>
        <v>0</v>
      </c>
      <c r="U43" s="78" t="n">
        <f aca="false">COUNTIF($E$17:$AI$23,U44)</f>
        <v>0</v>
      </c>
      <c r="V43" s="78" t="n">
        <f aca="false">COUNTIF($E$17:$AI$23,V44)</f>
        <v>0</v>
      </c>
      <c r="W43" s="78" t="n">
        <f aca="false">COUNTIF($E$17:$AI$23,W44)</f>
        <v>0</v>
      </c>
      <c r="X43" s="78" t="n">
        <f aca="false">COUNTIF($E$17:$AI$23,X44)</f>
        <v>0</v>
      </c>
      <c r="Y43" s="78" t="n">
        <f aca="false">COUNTIF($E$17:$AI$23,Y44)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COUNTIF($E$4:$AI$24,B44)</f>
        <v>0</v>
      </c>
      <c r="M44" s="50"/>
      <c r="N44" s="50"/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COUNTIF($E$4:$AI$24,B45)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COUNTIF($E$4:$AI$24,B46)</f>
        <v>10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COUNTIF($E$4:$AI$24,B47)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COUNTIF($E$4:$AI$24,B48)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0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G28:G29"/>
    <mergeCell ref="K28:K29"/>
    <mergeCell ref="Q28:U28"/>
    <mergeCell ref="G37:J37"/>
    <mergeCell ref="M38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false" showOutlineSymbols="true" defaultGridColor="true" view="normal" topLeftCell="M2" colorId="64" zoomScale="100" zoomScaleNormal="100" zoomScalePageLayoutView="100" workbookViewId="0">
      <selection pane="topLeft" activeCell="Z40" activeCellId="0" sqref="Z40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5.51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2" min="22" style="1" width="11.5"/>
    <col collapsed="false" customWidth="true" hidden="false" outlineLevel="0" max="28" min="23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2857</v>
      </c>
      <c r="E1" s="17" t="s">
        <v>2780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6" t="s">
        <v>2720</v>
      </c>
      <c r="F2" s="15" t="s">
        <v>2721</v>
      </c>
      <c r="G2" s="15" t="s">
        <v>2722</v>
      </c>
      <c r="H2" s="15" t="s">
        <v>2716</v>
      </c>
      <c r="I2" s="15" t="s">
        <v>2717</v>
      </c>
      <c r="J2" s="15" t="s">
        <v>2718</v>
      </c>
      <c r="K2" s="16" t="s">
        <v>2719</v>
      </c>
      <c r="L2" s="16" t="s">
        <v>2720</v>
      </c>
      <c r="M2" s="15" t="s">
        <v>2721</v>
      </c>
      <c r="N2" s="15" t="s">
        <v>2722</v>
      </c>
      <c r="O2" s="15" t="s">
        <v>2716</v>
      </c>
      <c r="P2" s="15" t="s">
        <v>2717</v>
      </c>
      <c r="Q2" s="15" t="s">
        <v>2718</v>
      </c>
      <c r="R2" s="16" t="s">
        <v>2719</v>
      </c>
      <c r="S2" s="16" t="s">
        <v>2720</v>
      </c>
      <c r="T2" s="15" t="s">
        <v>2721</v>
      </c>
      <c r="U2" s="15" t="s">
        <v>2722</v>
      </c>
      <c r="V2" s="15" t="s">
        <v>2716</v>
      </c>
      <c r="W2" s="15" t="s">
        <v>2717</v>
      </c>
      <c r="X2" s="15" t="s">
        <v>2718</v>
      </c>
      <c r="Y2" s="16" t="s">
        <v>2719</v>
      </c>
      <c r="Z2" s="16" t="s">
        <v>2720</v>
      </c>
      <c r="AA2" s="15" t="s">
        <v>2721</v>
      </c>
      <c r="AB2" s="15" t="s">
        <v>2722</v>
      </c>
      <c r="AC2" s="15" t="s">
        <v>2716</v>
      </c>
      <c r="AD2" s="15" t="s">
        <v>2717</v>
      </c>
      <c r="AE2" s="15" t="s">
        <v>2718</v>
      </c>
      <c r="AF2" s="16" t="s">
        <v>2719</v>
      </c>
      <c r="AG2" s="16" t="s">
        <v>2720</v>
      </c>
      <c r="AH2" s="15" t="s">
        <v>2721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45536</v>
      </c>
      <c r="F3" s="19" t="n">
        <v>45537</v>
      </c>
      <c r="G3" s="19" t="n">
        <v>45538</v>
      </c>
      <c r="H3" s="19" t="n">
        <v>45539</v>
      </c>
      <c r="I3" s="19" t="n">
        <v>45540</v>
      </c>
      <c r="J3" s="19" t="n">
        <v>45541</v>
      </c>
      <c r="K3" s="19" t="n">
        <v>45542</v>
      </c>
      <c r="L3" s="19" t="n">
        <v>45543</v>
      </c>
      <c r="M3" s="19" t="n">
        <v>45544</v>
      </c>
      <c r="N3" s="19" t="n">
        <v>45545</v>
      </c>
      <c r="O3" s="19" t="n">
        <v>45546</v>
      </c>
      <c r="P3" s="19" t="n">
        <v>45547</v>
      </c>
      <c r="Q3" s="19" t="n">
        <v>45548</v>
      </c>
      <c r="R3" s="19" t="n">
        <v>45549</v>
      </c>
      <c r="S3" s="19" t="n">
        <v>45550</v>
      </c>
      <c r="T3" s="19" t="n">
        <v>45551</v>
      </c>
      <c r="U3" s="19" t="n">
        <v>45552</v>
      </c>
      <c r="V3" s="19" t="n">
        <v>45553</v>
      </c>
      <c r="W3" s="19" t="n">
        <v>45554</v>
      </c>
      <c r="X3" s="19" t="n">
        <v>45555</v>
      </c>
      <c r="Y3" s="19" t="n">
        <v>45556</v>
      </c>
      <c r="Z3" s="19" t="n">
        <v>45557</v>
      </c>
      <c r="AA3" s="19" t="n">
        <v>45558</v>
      </c>
      <c r="AB3" s="19" t="n">
        <v>45559</v>
      </c>
      <c r="AC3" s="19" t="n">
        <v>45560</v>
      </c>
      <c r="AD3" s="19" t="n">
        <v>45561</v>
      </c>
      <c r="AE3" s="19" t="n">
        <v>45562</v>
      </c>
      <c r="AF3" s="19" t="n">
        <v>45563</v>
      </c>
      <c r="AG3" s="19" t="n">
        <v>45564</v>
      </c>
      <c r="AH3" s="19" t="n">
        <v>45565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 t="s">
        <v>43</v>
      </c>
      <c r="P4" s="24" t="s">
        <v>43</v>
      </c>
      <c r="Q4" s="24" t="s">
        <v>43</v>
      </c>
      <c r="R4" s="24" t="s">
        <v>43</v>
      </c>
      <c r="S4" s="24" t="s">
        <v>43</v>
      </c>
      <c r="T4" s="24" t="s">
        <v>43</v>
      </c>
      <c r="U4" s="24"/>
      <c r="V4" s="24"/>
      <c r="W4" s="24"/>
      <c r="X4" s="29" t="s">
        <v>2760</v>
      </c>
      <c r="Y4" s="29" t="s">
        <v>2760</v>
      </c>
      <c r="Z4" s="29" t="s">
        <v>2760</v>
      </c>
      <c r="AA4" s="29" t="s">
        <v>2760</v>
      </c>
      <c r="AB4" s="38"/>
      <c r="AC4" s="24" t="s">
        <v>43</v>
      </c>
      <c r="AD4" s="24" t="s">
        <v>43</v>
      </c>
      <c r="AE4" s="24" t="s">
        <v>2760</v>
      </c>
      <c r="AF4" s="24"/>
      <c r="AG4" s="24"/>
      <c r="AH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 t="s">
        <v>43</v>
      </c>
      <c r="F5" s="24" t="s">
        <v>43</v>
      </c>
      <c r="G5" s="24" t="s">
        <v>43</v>
      </c>
      <c r="H5" s="24" t="s">
        <v>43</v>
      </c>
      <c r="I5" s="20" t="s">
        <v>43</v>
      </c>
      <c r="J5" s="29" t="s">
        <v>43</v>
      </c>
      <c r="K5" s="29" t="s">
        <v>43</v>
      </c>
      <c r="L5" s="38" t="s">
        <v>2766</v>
      </c>
      <c r="M5" s="24" t="s">
        <v>43</v>
      </c>
      <c r="N5" s="24"/>
      <c r="O5" s="24"/>
      <c r="P5" s="24"/>
      <c r="Q5" s="24" t="s">
        <v>43</v>
      </c>
      <c r="R5" s="24" t="s">
        <v>2760</v>
      </c>
      <c r="S5" s="24" t="s">
        <v>43</v>
      </c>
      <c r="T5" s="24"/>
      <c r="U5" s="24" t="s">
        <v>2761</v>
      </c>
      <c r="V5" s="24" t="s">
        <v>43</v>
      </c>
      <c r="W5" s="24" t="s">
        <v>43</v>
      </c>
      <c r="X5" s="29" t="s">
        <v>2760</v>
      </c>
      <c r="Y5" s="29" t="s">
        <v>2760</v>
      </c>
      <c r="Z5" s="29" t="s">
        <v>2760</v>
      </c>
      <c r="AA5" s="29" t="s">
        <v>2760</v>
      </c>
      <c r="AB5" s="38"/>
      <c r="AC5" s="24" t="s">
        <v>43</v>
      </c>
      <c r="AD5" s="24" t="s">
        <v>2760</v>
      </c>
      <c r="AE5" s="24" t="s">
        <v>2760</v>
      </c>
      <c r="AF5" s="24" t="s">
        <v>2760</v>
      </c>
      <c r="AG5" s="24"/>
      <c r="AH5" s="24"/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/>
      <c r="F6" s="24"/>
      <c r="G6" s="24" t="s">
        <v>43</v>
      </c>
      <c r="H6" s="24" t="s">
        <v>43</v>
      </c>
      <c r="I6" s="20" t="s">
        <v>43</v>
      </c>
      <c r="J6" s="24"/>
      <c r="K6" s="24"/>
      <c r="L6" s="50"/>
      <c r="N6" s="24"/>
      <c r="O6" s="24" t="s">
        <v>43</v>
      </c>
      <c r="P6" s="24" t="s">
        <v>43</v>
      </c>
      <c r="Q6" s="24" t="s">
        <v>43</v>
      </c>
      <c r="R6" s="96" t="s">
        <v>43</v>
      </c>
      <c r="S6" s="24" t="s">
        <v>2764</v>
      </c>
      <c r="T6" s="24"/>
      <c r="U6" s="24" t="s">
        <v>43</v>
      </c>
      <c r="V6" s="24" t="s">
        <v>2764</v>
      </c>
      <c r="W6" s="24" t="s">
        <v>2764</v>
      </c>
      <c r="X6" s="24" t="s">
        <v>2764</v>
      </c>
      <c r="Y6" s="24" t="s">
        <v>2727</v>
      </c>
      <c r="Z6" s="24" t="s">
        <v>2727</v>
      </c>
      <c r="AA6" s="24" t="s">
        <v>2727</v>
      </c>
      <c r="AB6" s="24" t="s">
        <v>2727</v>
      </c>
      <c r="AC6" s="24"/>
      <c r="AD6" s="24" t="s">
        <v>2760</v>
      </c>
      <c r="AE6" s="24" t="s">
        <v>2760</v>
      </c>
      <c r="AF6" s="24" t="s">
        <v>2760</v>
      </c>
      <c r="AG6" s="24" t="s">
        <v>2760</v>
      </c>
      <c r="AH6" s="24"/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/>
      <c r="G7" s="24"/>
      <c r="H7" s="24"/>
      <c r="I7" s="24"/>
      <c r="J7" s="108" t="s">
        <v>43</v>
      </c>
      <c r="K7" s="108" t="s">
        <v>43</v>
      </c>
      <c r="L7" s="108" t="s">
        <v>43</v>
      </c>
      <c r="M7" s="24" t="s">
        <v>43</v>
      </c>
      <c r="N7" s="24" t="s">
        <v>43</v>
      </c>
      <c r="O7" s="24"/>
      <c r="P7" s="115" t="s">
        <v>43</v>
      </c>
      <c r="Q7" s="115" t="s">
        <v>43</v>
      </c>
      <c r="R7" s="115" t="s">
        <v>43</v>
      </c>
      <c r="S7" s="115" t="s">
        <v>43</v>
      </c>
      <c r="T7" s="115" t="s">
        <v>43</v>
      </c>
      <c r="U7" s="24"/>
      <c r="V7" s="24" t="s">
        <v>2762</v>
      </c>
      <c r="W7" s="24"/>
      <c r="X7" s="24"/>
      <c r="Y7" s="24" t="s">
        <v>2761</v>
      </c>
      <c r="Z7" s="24" t="s">
        <v>43</v>
      </c>
      <c r="AA7" s="24"/>
      <c r="AB7" s="24" t="s">
        <v>2727</v>
      </c>
      <c r="AC7" s="24" t="s">
        <v>43</v>
      </c>
      <c r="AD7" s="24"/>
      <c r="AE7" s="24" t="s">
        <v>2760</v>
      </c>
      <c r="AF7" s="24" t="s">
        <v>2764</v>
      </c>
      <c r="AG7" s="24"/>
      <c r="AH7" s="24"/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 t="s">
        <v>43</v>
      </c>
      <c r="G8" s="24"/>
      <c r="H8" s="24" t="s">
        <v>43</v>
      </c>
      <c r="I8" s="24"/>
      <c r="J8" s="38" t="s">
        <v>54</v>
      </c>
      <c r="K8" s="108" t="s">
        <v>43</v>
      </c>
      <c r="L8" s="108" t="s">
        <v>43</v>
      </c>
      <c r="M8" s="24"/>
      <c r="N8" s="118" t="s">
        <v>2760</v>
      </c>
      <c r="O8" s="118" t="s">
        <v>2760</v>
      </c>
      <c r="P8" s="24"/>
      <c r="Q8" s="24" t="s">
        <v>43</v>
      </c>
      <c r="R8" s="96" t="s">
        <v>43</v>
      </c>
      <c r="S8" s="24"/>
      <c r="T8" s="24"/>
      <c r="U8" s="24"/>
      <c r="V8" s="24" t="s">
        <v>43</v>
      </c>
      <c r="W8" s="24" t="s">
        <v>43</v>
      </c>
      <c r="X8" s="24"/>
      <c r="Y8" s="24" t="s">
        <v>43</v>
      </c>
      <c r="Z8" s="24" t="s">
        <v>43</v>
      </c>
      <c r="AA8" s="24"/>
      <c r="AC8" s="24" t="s">
        <v>43</v>
      </c>
      <c r="AD8" s="24"/>
      <c r="AE8" s="24" t="s">
        <v>43</v>
      </c>
      <c r="AF8" s="24" t="s">
        <v>43</v>
      </c>
      <c r="AG8" s="24" t="s">
        <v>43</v>
      </c>
      <c r="AH8" s="24" t="s">
        <v>43</v>
      </c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104" t="s">
        <v>43</v>
      </c>
      <c r="F9" s="24" t="s">
        <v>43</v>
      </c>
      <c r="G9" s="24" t="s">
        <v>43</v>
      </c>
      <c r="H9" s="24" t="s">
        <v>43</v>
      </c>
      <c r="I9" s="24"/>
      <c r="J9" s="24"/>
      <c r="K9" s="24" t="s">
        <v>43</v>
      </c>
      <c r="L9" s="24"/>
      <c r="M9" s="24"/>
      <c r="N9" s="118" t="s">
        <v>2760</v>
      </c>
      <c r="O9" s="118" t="s">
        <v>2760</v>
      </c>
      <c r="P9" s="24"/>
      <c r="Q9" s="24"/>
      <c r="R9" s="24" t="s">
        <v>43</v>
      </c>
      <c r="S9" s="24" t="s">
        <v>43</v>
      </c>
      <c r="T9" s="24" t="s">
        <v>43</v>
      </c>
      <c r="U9" s="24" t="s">
        <v>43</v>
      </c>
      <c r="V9" s="24"/>
      <c r="X9" s="24" t="s">
        <v>2727</v>
      </c>
      <c r="Y9" s="24"/>
      <c r="Z9" s="24"/>
      <c r="AA9" s="24" t="s">
        <v>2761</v>
      </c>
      <c r="AB9" s="24"/>
      <c r="AC9" s="24"/>
      <c r="AD9" s="24"/>
      <c r="AE9" s="24" t="s">
        <v>43</v>
      </c>
      <c r="AF9" s="24" t="s">
        <v>43</v>
      </c>
      <c r="AG9" s="24"/>
      <c r="AH9" s="24"/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F10" s="24" t="s">
        <v>2760</v>
      </c>
      <c r="G10" s="24"/>
      <c r="H10" s="24"/>
      <c r="I10" s="24"/>
      <c r="K10" s="24" t="s">
        <v>43</v>
      </c>
      <c r="L10" s="24" t="s">
        <v>43</v>
      </c>
      <c r="M10" s="24"/>
      <c r="N10" s="24"/>
      <c r="O10" s="24"/>
      <c r="P10" s="24" t="s">
        <v>2760</v>
      </c>
      <c r="Q10" s="24"/>
      <c r="R10" s="96" t="s">
        <v>43</v>
      </c>
      <c r="S10" s="24"/>
      <c r="T10" s="24"/>
      <c r="U10" s="24"/>
      <c r="V10" s="24"/>
      <c r="W10" s="108" t="s">
        <v>43</v>
      </c>
      <c r="X10" s="108" t="s">
        <v>43</v>
      </c>
      <c r="Y10" s="20" t="s">
        <v>43</v>
      </c>
      <c r="Z10" s="20" t="s">
        <v>43</v>
      </c>
      <c r="AA10" s="24"/>
      <c r="AB10" s="24"/>
      <c r="AC10" s="24"/>
      <c r="AD10" s="24"/>
      <c r="AE10" s="24" t="s">
        <v>43</v>
      </c>
      <c r="AF10" s="24" t="s">
        <v>43</v>
      </c>
      <c r="AG10" s="24"/>
      <c r="AH10" s="24"/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/>
      <c r="G11" s="24"/>
      <c r="H11" s="24"/>
      <c r="I11" s="24"/>
      <c r="J11" s="24"/>
      <c r="K11" s="24"/>
      <c r="L11" s="24" t="s">
        <v>43</v>
      </c>
      <c r="M11" s="24" t="s">
        <v>43</v>
      </c>
      <c r="N11" s="24"/>
      <c r="O11" s="24"/>
      <c r="P11" s="24"/>
      <c r="Q11" s="24" t="s">
        <v>2764</v>
      </c>
      <c r="R11" s="24" t="s">
        <v>2764</v>
      </c>
      <c r="S11" s="24" t="s">
        <v>43</v>
      </c>
      <c r="T11" s="24"/>
      <c r="U11" s="24"/>
      <c r="V11" s="24"/>
      <c r="W11" s="24" t="s">
        <v>43</v>
      </c>
      <c r="X11" s="24" t="s">
        <v>2764</v>
      </c>
      <c r="Y11" s="24" t="s">
        <v>43</v>
      </c>
      <c r="Z11" s="24" t="s">
        <v>43</v>
      </c>
      <c r="AA11" s="24"/>
      <c r="AB11" s="24"/>
      <c r="AC11" s="119" t="s">
        <v>43</v>
      </c>
      <c r="AD11" s="24"/>
      <c r="AE11" s="120" t="s">
        <v>2760</v>
      </c>
      <c r="AF11" s="24" t="s">
        <v>2761</v>
      </c>
      <c r="AG11" s="24" t="s">
        <v>43</v>
      </c>
      <c r="AH11" s="24"/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/>
      <c r="F12" s="24"/>
      <c r="G12" s="24"/>
      <c r="H12" s="24"/>
      <c r="I12" s="24"/>
      <c r="J12" s="24"/>
      <c r="K12" s="24" t="s">
        <v>43</v>
      </c>
      <c r="L12" s="24" t="s">
        <v>43</v>
      </c>
      <c r="M12" s="24"/>
      <c r="N12" s="24"/>
      <c r="O12" s="24"/>
      <c r="P12" s="24"/>
      <c r="Q12" s="24"/>
      <c r="R12" s="24" t="s">
        <v>43</v>
      </c>
      <c r="S12" s="24"/>
      <c r="T12" s="24"/>
      <c r="U12" s="24"/>
      <c r="V12" s="24"/>
      <c r="W12" s="24"/>
      <c r="X12" s="24"/>
      <c r="Y12" s="24" t="s">
        <v>43</v>
      </c>
      <c r="Z12" s="24" t="s">
        <v>43</v>
      </c>
      <c r="AA12" s="24" t="s">
        <v>43</v>
      </c>
      <c r="AB12" s="24"/>
      <c r="AC12" s="24"/>
      <c r="AD12" s="24"/>
      <c r="AE12" s="120" t="s">
        <v>2760</v>
      </c>
      <c r="AF12" s="24" t="s">
        <v>43</v>
      </c>
      <c r="AG12" s="24" t="s">
        <v>43</v>
      </c>
      <c r="AH12" s="24"/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24" t="s">
        <v>2760</v>
      </c>
      <c r="F13" s="24"/>
      <c r="G13" s="24"/>
      <c r="H13" s="24"/>
      <c r="I13" s="24"/>
      <c r="J13" s="24"/>
      <c r="K13" s="24"/>
      <c r="L13" s="29" t="s">
        <v>43</v>
      </c>
      <c r="M13" s="29" t="s">
        <v>43</v>
      </c>
      <c r="N13" s="29" t="s">
        <v>43</v>
      </c>
      <c r="O13" s="24"/>
      <c r="P13" s="115" t="s">
        <v>43</v>
      </c>
      <c r="Q13" s="115" t="s">
        <v>43</v>
      </c>
      <c r="R13" s="115" t="s">
        <v>43</v>
      </c>
      <c r="S13" s="115" t="s">
        <v>43</v>
      </c>
      <c r="T13" s="115" t="s">
        <v>43</v>
      </c>
      <c r="U13" s="24"/>
      <c r="V13" s="24"/>
      <c r="W13" s="24" t="s">
        <v>43</v>
      </c>
      <c r="X13" s="20" t="s">
        <v>43</v>
      </c>
      <c r="Y13" s="20" t="s">
        <v>43</v>
      </c>
      <c r="Z13" s="24"/>
      <c r="AA13" s="24"/>
      <c r="AB13" s="24"/>
      <c r="AC13" s="24" t="s">
        <v>43</v>
      </c>
      <c r="AD13" s="24" t="s">
        <v>2764</v>
      </c>
      <c r="AE13" s="24" t="s">
        <v>2764</v>
      </c>
      <c r="AF13" s="24" t="s">
        <v>2760</v>
      </c>
      <c r="AG13" s="24" t="s">
        <v>2760</v>
      </c>
      <c r="AH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104" t="s">
        <v>43</v>
      </c>
      <c r="F14" s="24"/>
      <c r="G14" s="24"/>
      <c r="H14" s="24"/>
      <c r="I14" s="24" t="s">
        <v>2762</v>
      </c>
      <c r="J14" s="24"/>
      <c r="K14" s="24"/>
      <c r="L14" s="24"/>
      <c r="M14" s="24"/>
      <c r="N14" s="24"/>
      <c r="O14" s="24" t="s">
        <v>43</v>
      </c>
      <c r="P14" s="24" t="s">
        <v>43</v>
      </c>
      <c r="Q14" s="24" t="s">
        <v>43</v>
      </c>
      <c r="R14" s="24" t="s">
        <v>43</v>
      </c>
      <c r="S14" s="24" t="s">
        <v>43</v>
      </c>
      <c r="T14" s="24"/>
      <c r="U14" s="24" t="s">
        <v>43</v>
      </c>
      <c r="V14" s="24" t="s">
        <v>2764</v>
      </c>
      <c r="W14" s="24" t="s">
        <v>2764</v>
      </c>
      <c r="X14" s="24" t="s">
        <v>2764</v>
      </c>
      <c r="Y14" s="20" t="s">
        <v>43</v>
      </c>
      <c r="Z14" s="20" t="s">
        <v>43</v>
      </c>
      <c r="AA14" s="24"/>
      <c r="AB14" s="24"/>
      <c r="AC14" s="24"/>
      <c r="AD14" s="24"/>
      <c r="AE14" s="24" t="s">
        <v>2760</v>
      </c>
      <c r="AF14" s="24" t="s">
        <v>2760</v>
      </c>
      <c r="AG14" s="24"/>
      <c r="AH14" s="24"/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104" t="s">
        <v>43</v>
      </c>
      <c r="F15" s="24"/>
      <c r="G15" s="24"/>
      <c r="H15" s="24"/>
      <c r="I15" s="24"/>
      <c r="J15" s="24" t="s">
        <v>43</v>
      </c>
      <c r="K15" s="24"/>
      <c r="L15" s="24" t="s">
        <v>43</v>
      </c>
      <c r="M15" s="24" t="s">
        <v>43</v>
      </c>
      <c r="N15" s="24"/>
      <c r="O15" s="24"/>
      <c r="P15" s="24"/>
      <c r="Q15" s="24"/>
      <c r="R15" s="24" t="s">
        <v>2761</v>
      </c>
      <c r="S15" s="24"/>
      <c r="T15" s="24"/>
      <c r="U15" s="24"/>
      <c r="V15" s="24"/>
      <c r="W15" s="24"/>
      <c r="X15" s="24" t="s">
        <v>43</v>
      </c>
      <c r="Y15" s="24" t="s">
        <v>43</v>
      </c>
      <c r="Z15" s="24"/>
      <c r="AA15" s="24"/>
      <c r="AB15" s="24"/>
      <c r="AC15" s="24"/>
      <c r="AD15" s="24"/>
      <c r="AE15" s="24" t="s">
        <v>2760</v>
      </c>
      <c r="AF15" s="24" t="s">
        <v>2764</v>
      </c>
      <c r="AG15" s="24" t="s">
        <v>43</v>
      </c>
      <c r="AH15" s="24" t="s">
        <v>43</v>
      </c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104" t="s">
        <v>43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 t="s">
        <v>43</v>
      </c>
      <c r="R16" s="24" t="s">
        <v>2760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 t="s">
        <v>2729</v>
      </c>
      <c r="AG16" s="24" t="s">
        <v>2729</v>
      </c>
      <c r="AH16" s="24" t="s">
        <v>2729</v>
      </c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G17" s="24" t="s">
        <v>2760</v>
      </c>
      <c r="H17" s="24" t="s">
        <v>2760</v>
      </c>
      <c r="I17" s="24"/>
      <c r="J17" s="24"/>
      <c r="K17" s="24"/>
      <c r="L17" s="24"/>
      <c r="M17" s="24"/>
      <c r="N17" s="24"/>
      <c r="O17" s="24"/>
      <c r="P17" s="24"/>
      <c r="Q17" s="24" t="s">
        <v>2760</v>
      </c>
      <c r="R17" s="24" t="s">
        <v>43</v>
      </c>
      <c r="S17" s="24"/>
      <c r="T17" s="24"/>
      <c r="U17" s="24"/>
      <c r="V17" s="24"/>
      <c r="W17" s="108" t="s">
        <v>43</v>
      </c>
      <c r="X17" s="108" t="s">
        <v>43</v>
      </c>
      <c r="Y17" s="24"/>
      <c r="Z17" s="24" t="s">
        <v>2760</v>
      </c>
      <c r="AA17" s="24"/>
      <c r="AB17" s="24"/>
      <c r="AC17" s="24"/>
      <c r="AD17" s="24"/>
      <c r="AE17" s="24" t="s">
        <v>2762</v>
      </c>
      <c r="AF17" s="24" t="s">
        <v>2762</v>
      </c>
      <c r="AG17" s="24" t="s">
        <v>2762</v>
      </c>
      <c r="AH17" s="24" t="s">
        <v>43</v>
      </c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 t="s">
        <v>2762</v>
      </c>
      <c r="S18" s="24" t="s">
        <v>2762</v>
      </c>
      <c r="T18" s="24"/>
      <c r="U18" s="24"/>
      <c r="V18" s="24" t="s">
        <v>43</v>
      </c>
      <c r="W18" s="24" t="s">
        <v>43</v>
      </c>
      <c r="X18" s="24"/>
      <c r="Y18" s="24" t="s">
        <v>2762</v>
      </c>
      <c r="Z18" s="24" t="s">
        <v>43</v>
      </c>
      <c r="AA18" s="24" t="s">
        <v>43</v>
      </c>
      <c r="AB18" s="24" t="s">
        <v>43</v>
      </c>
      <c r="AC18" s="119" t="s">
        <v>43</v>
      </c>
      <c r="AD18" s="24"/>
      <c r="AE18" s="24" t="s">
        <v>43</v>
      </c>
      <c r="AF18" s="24" t="s">
        <v>43</v>
      </c>
      <c r="AG18" s="24" t="s">
        <v>43</v>
      </c>
      <c r="AH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 t="s">
        <v>2762</v>
      </c>
      <c r="S19" s="24" t="s">
        <v>2762</v>
      </c>
      <c r="T19" s="24" t="s">
        <v>2762</v>
      </c>
      <c r="U19" s="24"/>
      <c r="V19" s="24"/>
      <c r="W19" s="24" t="s">
        <v>2760</v>
      </c>
      <c r="X19" s="24" t="s">
        <v>2760</v>
      </c>
      <c r="Y19" s="24" t="s">
        <v>2760</v>
      </c>
      <c r="Z19" s="24" t="s">
        <v>2760</v>
      </c>
      <c r="AA19" s="24"/>
      <c r="AB19" s="24"/>
      <c r="AC19" s="24"/>
      <c r="AD19" s="24"/>
      <c r="AE19" s="24"/>
      <c r="AF19" s="24" t="s">
        <v>2760</v>
      </c>
      <c r="AG19" s="24"/>
      <c r="AH19" s="24" t="s">
        <v>43</v>
      </c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 t="s">
        <v>43</v>
      </c>
      <c r="F20" s="24" t="s">
        <v>43</v>
      </c>
      <c r="G20" s="24" t="s">
        <v>43</v>
      </c>
      <c r="H20" s="24" t="s">
        <v>43</v>
      </c>
      <c r="I20" s="24" t="s">
        <v>43</v>
      </c>
      <c r="J20" s="24"/>
      <c r="K20" s="24" t="s">
        <v>43</v>
      </c>
      <c r="L20" s="24"/>
      <c r="M20" s="24" t="s">
        <v>43</v>
      </c>
      <c r="N20" s="24" t="s">
        <v>43</v>
      </c>
      <c r="O20" s="24" t="s">
        <v>43</v>
      </c>
      <c r="P20" s="24"/>
      <c r="Q20" s="24" t="s">
        <v>2762</v>
      </c>
      <c r="R20" s="24" t="s">
        <v>2762</v>
      </c>
      <c r="S20" s="24" t="s">
        <v>2762</v>
      </c>
      <c r="T20" s="24" t="s">
        <v>2762</v>
      </c>
      <c r="U20" s="24"/>
      <c r="V20" s="24"/>
      <c r="W20" s="24"/>
      <c r="X20" s="20" t="s">
        <v>43</v>
      </c>
      <c r="Y20" s="20" t="s">
        <v>43</v>
      </c>
      <c r="Z20" s="24"/>
      <c r="AA20" s="24"/>
      <c r="AB20" s="24" t="s">
        <v>43</v>
      </c>
      <c r="AC20" s="24" t="s">
        <v>2764</v>
      </c>
      <c r="AD20" s="24" t="s">
        <v>2764</v>
      </c>
      <c r="AE20" s="24" t="s">
        <v>2764</v>
      </c>
      <c r="AF20" s="24" t="s">
        <v>2764</v>
      </c>
      <c r="AG20" s="24" t="s">
        <v>2764</v>
      </c>
      <c r="AH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104" t="s">
        <v>43</v>
      </c>
      <c r="F21" s="24"/>
      <c r="G21" s="24"/>
      <c r="H21" s="24" t="s">
        <v>43</v>
      </c>
      <c r="I21" s="24" t="s">
        <v>43</v>
      </c>
      <c r="J21" s="24" t="s">
        <v>43</v>
      </c>
      <c r="K21" s="24" t="s">
        <v>43</v>
      </c>
      <c r="L21" s="24" t="s">
        <v>43</v>
      </c>
      <c r="M21" s="24"/>
      <c r="N21" s="24"/>
      <c r="O21" s="36" t="s">
        <v>43</v>
      </c>
      <c r="P21" s="36" t="s">
        <v>43</v>
      </c>
      <c r="Q21" s="36" t="s">
        <v>43</v>
      </c>
      <c r="R21" s="36" t="s">
        <v>43</v>
      </c>
      <c r="S21" s="36" t="s">
        <v>43</v>
      </c>
      <c r="T21" s="36" t="s">
        <v>43</v>
      </c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 t="s">
        <v>43</v>
      </c>
      <c r="AG21" s="24"/>
      <c r="AH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 t="s">
        <v>43</v>
      </c>
      <c r="F22" s="24" t="s">
        <v>43</v>
      </c>
      <c r="G22" s="24"/>
      <c r="H22" s="24"/>
      <c r="I22" s="24"/>
      <c r="J22" s="24" t="s">
        <v>43</v>
      </c>
      <c r="K22" s="24" t="s">
        <v>43</v>
      </c>
      <c r="L22" s="24" t="s">
        <v>43</v>
      </c>
      <c r="M22" s="24" t="s">
        <v>43</v>
      </c>
      <c r="N22" s="24"/>
      <c r="O22" s="36" t="s">
        <v>43</v>
      </c>
      <c r="P22" s="36" t="s">
        <v>43</v>
      </c>
      <c r="Q22" s="36" t="s">
        <v>43</v>
      </c>
      <c r="R22" s="36" t="s">
        <v>43</v>
      </c>
      <c r="S22" s="36" t="s">
        <v>43</v>
      </c>
      <c r="T22" s="36" t="s">
        <v>43</v>
      </c>
      <c r="U22" s="24"/>
      <c r="V22" s="24"/>
      <c r="W22" s="24"/>
      <c r="X22" s="24"/>
      <c r="Y22" s="24" t="s">
        <v>2764</v>
      </c>
      <c r="Z22" s="24"/>
      <c r="AA22" s="24"/>
      <c r="AB22" s="24"/>
      <c r="AC22" s="24"/>
      <c r="AD22" s="24"/>
      <c r="AE22" s="24" t="s">
        <v>43</v>
      </c>
      <c r="AF22" s="24" t="s">
        <v>43</v>
      </c>
      <c r="AG22" s="24"/>
      <c r="AH22" s="24"/>
    </row>
    <row r="23" customFormat="false" ht="15.75" hidden="false" customHeight="true" outlineLevel="0" collapsed="false">
      <c r="A23" s="33" t="n">
        <v>20</v>
      </c>
      <c r="B23" s="34" t="s">
        <v>31</v>
      </c>
      <c r="C23" s="35" t="n">
        <v>703</v>
      </c>
      <c r="D23" s="23" t="n">
        <v>2</v>
      </c>
      <c r="E23" s="24" t="s">
        <v>2729</v>
      </c>
      <c r="F23" s="24" t="s">
        <v>2729</v>
      </c>
      <c r="G23" s="24" t="s">
        <v>2729</v>
      </c>
      <c r="H23" s="24" t="s">
        <v>2729</v>
      </c>
      <c r="I23" s="24" t="s">
        <v>2729</v>
      </c>
      <c r="J23" s="24" t="s">
        <v>2729</v>
      </c>
      <c r="K23" s="24" t="s">
        <v>2729</v>
      </c>
      <c r="L23" s="24" t="s">
        <v>2729</v>
      </c>
      <c r="M23" s="24" t="s">
        <v>2729</v>
      </c>
      <c r="N23" s="24" t="s">
        <v>2729</v>
      </c>
      <c r="O23" s="24" t="s">
        <v>2729</v>
      </c>
      <c r="P23" s="24" t="s">
        <v>2729</v>
      </c>
      <c r="Q23" s="24" t="s">
        <v>2729</v>
      </c>
      <c r="R23" s="24" t="s">
        <v>2729</v>
      </c>
      <c r="S23" s="24" t="s">
        <v>2729</v>
      </c>
      <c r="T23" s="24" t="s">
        <v>2729</v>
      </c>
      <c r="U23" s="24" t="s">
        <v>2729</v>
      </c>
      <c r="V23" s="24" t="s">
        <v>2729</v>
      </c>
      <c r="W23" s="24" t="s">
        <v>2729</v>
      </c>
      <c r="X23" s="24" t="s">
        <v>2729</v>
      </c>
      <c r="Y23" s="24" t="s">
        <v>2729</v>
      </c>
      <c r="Z23" s="24" t="s">
        <v>2729</v>
      </c>
      <c r="AA23" s="24" t="s">
        <v>2729</v>
      </c>
      <c r="AB23" s="24" t="s">
        <v>2729</v>
      </c>
      <c r="AC23" s="24" t="s">
        <v>2729</v>
      </c>
      <c r="AD23" s="24" t="s">
        <v>2729</v>
      </c>
      <c r="AE23" s="24" t="s">
        <v>2729</v>
      </c>
      <c r="AF23" s="24" t="s">
        <v>2729</v>
      </c>
      <c r="AG23" s="24" t="s">
        <v>2729</v>
      </c>
      <c r="AH23" s="24" t="s">
        <v>2729</v>
      </c>
    </row>
    <row r="24" customFormat="false" ht="15.75" hidden="false" customHeight="true" outlineLevel="0" collapsed="false">
      <c r="A24" s="38" t="n">
        <v>21</v>
      </c>
      <c r="B24" s="50" t="s">
        <v>209</v>
      </c>
      <c r="C24" s="50" t="s">
        <v>209</v>
      </c>
      <c r="D24" s="23" t="n">
        <v>1</v>
      </c>
      <c r="E24" s="24" t="s">
        <v>2729</v>
      </c>
      <c r="F24" s="24" t="s">
        <v>2729</v>
      </c>
      <c r="G24" s="24" t="s">
        <v>2729</v>
      </c>
      <c r="H24" s="24" t="s">
        <v>2729</v>
      </c>
      <c r="I24" s="24" t="s">
        <v>2729</v>
      </c>
      <c r="J24" s="24" t="s">
        <v>2729</v>
      </c>
      <c r="K24" s="24" t="s">
        <v>2729</v>
      </c>
      <c r="L24" s="24" t="s">
        <v>2729</v>
      </c>
      <c r="M24" s="24" t="s">
        <v>2729</v>
      </c>
      <c r="N24" s="24" t="s">
        <v>2729</v>
      </c>
      <c r="O24" s="24" t="s">
        <v>2729</v>
      </c>
      <c r="P24" s="24" t="s">
        <v>2729</v>
      </c>
      <c r="Q24" s="24" t="s">
        <v>2729</v>
      </c>
      <c r="R24" s="24" t="s">
        <v>2729</v>
      </c>
      <c r="S24" s="24" t="s">
        <v>2729</v>
      </c>
      <c r="T24" s="24" t="s">
        <v>2729</v>
      </c>
      <c r="U24" s="24" t="s">
        <v>2729</v>
      </c>
      <c r="V24" s="24" t="s">
        <v>2729</v>
      </c>
      <c r="W24" s="24" t="s">
        <v>2729</v>
      </c>
      <c r="X24" s="24" t="s">
        <v>2729</v>
      </c>
      <c r="Y24" s="24" t="s">
        <v>2729</v>
      </c>
      <c r="Z24" s="24" t="s">
        <v>2729</v>
      </c>
      <c r="AA24" s="24" t="s">
        <v>2729</v>
      </c>
      <c r="AB24" s="24" t="s">
        <v>2729</v>
      </c>
      <c r="AC24" s="24" t="s">
        <v>2729</v>
      </c>
      <c r="AD24" s="24" t="s">
        <v>2729</v>
      </c>
      <c r="AE24" s="24" t="s">
        <v>2729</v>
      </c>
      <c r="AF24" s="24" t="s">
        <v>2729</v>
      </c>
      <c r="AG24" s="24" t="s">
        <v>2729</v>
      </c>
      <c r="AH24" s="24" t="s">
        <v>2729</v>
      </c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72" t="s">
        <v>2732</v>
      </c>
      <c r="R27" s="72"/>
      <c r="S27" s="72"/>
      <c r="T27" s="72"/>
      <c r="U27" s="7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4" t="s">
        <v>2734</v>
      </c>
      <c r="S28" s="44" t="s">
        <v>2736</v>
      </c>
      <c r="T28" s="44" t="s">
        <v>2738</v>
      </c>
      <c r="U28" s="44" t="s">
        <v>2739</v>
      </c>
    </row>
    <row r="29" customFormat="false" ht="15.75" hidden="false" customHeight="true" outlineLevel="0" collapsed="false">
      <c r="B29" s="24" t="s">
        <v>2740</v>
      </c>
      <c r="C29" s="24" t="n">
        <v>21</v>
      </c>
      <c r="D29" s="44" t="n">
        <f aca="false">C29*7</f>
        <v>147</v>
      </c>
      <c r="E29" s="24" t="n">
        <f aca="false">C29*30</f>
        <v>630</v>
      </c>
      <c r="G29" s="44"/>
      <c r="H29" s="47" t="n">
        <v>45536</v>
      </c>
      <c r="I29" s="44" t="s">
        <v>2784</v>
      </c>
      <c r="J29" s="44" t="s">
        <v>2785</v>
      </c>
      <c r="K29" s="44"/>
      <c r="L29" s="47" t="n">
        <v>45536</v>
      </c>
      <c r="M29" s="44" t="s">
        <v>2784</v>
      </c>
      <c r="N29" s="44" t="s">
        <v>2785</v>
      </c>
      <c r="Q29" s="36" t="s">
        <v>2740</v>
      </c>
      <c r="R29" s="24" t="n">
        <v>20</v>
      </c>
      <c r="S29" s="24" t="n">
        <v>630</v>
      </c>
      <c r="T29" s="50" t="n">
        <f aca="false">SUM(T30:T33)</f>
        <v>270</v>
      </c>
      <c r="U29" s="48" t="n">
        <f aca="false">T29/S29</f>
        <v>0.428571428571429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C30*30</f>
        <v>180</v>
      </c>
      <c r="G30" s="24" t="s">
        <v>65</v>
      </c>
      <c r="H30" s="24" t="n">
        <f aca="false">COUNTA(E4:E9)</f>
        <v>3</v>
      </c>
      <c r="I30" s="24" t="n">
        <f aca="false">COUNTA(J4:P9)</f>
        <v>22</v>
      </c>
      <c r="J30" s="24" t="n">
        <f aca="false">COUNTA(E4:AH9)</f>
        <v>107</v>
      </c>
      <c r="K30" s="24" t="s">
        <v>65</v>
      </c>
      <c r="L30" s="24" t="n">
        <f aca="false">COUNTBLANK(E4:E9)</f>
        <v>3</v>
      </c>
      <c r="M30" s="24" t="n">
        <f aca="false">COUNTBLANK(J4:P9)</f>
        <v>20</v>
      </c>
      <c r="N30" s="49" t="n">
        <f aca="false">COUNTBLANK(E4:AH9)</f>
        <v>73</v>
      </c>
      <c r="O30" s="50" t="n">
        <f aca="false">J30+N30</f>
        <v>180</v>
      </c>
      <c r="Q30" s="24" t="s">
        <v>65</v>
      </c>
      <c r="R30" s="24" t="n">
        <v>6</v>
      </c>
      <c r="S30" s="24" t="n">
        <v>180</v>
      </c>
      <c r="T30" s="24" t="n">
        <v>107</v>
      </c>
      <c r="U30" s="48" t="n">
        <f aca="false">T30/S30</f>
        <v>0.594444444444444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C31*30</f>
        <v>120</v>
      </c>
      <c r="G31" s="24" t="s">
        <v>60</v>
      </c>
      <c r="H31" s="49" t="n">
        <f aca="false">COUNTA(E10:E13)</f>
        <v>1</v>
      </c>
      <c r="I31" s="24"/>
      <c r="J31" s="24" t="n">
        <f aca="false">COUNTA(E10:AH13)</f>
        <v>50</v>
      </c>
      <c r="K31" s="24" t="s">
        <v>60</v>
      </c>
      <c r="L31" s="49" t="n">
        <f aca="false">COUNTBLANK(I10:I14)</f>
        <v>4</v>
      </c>
      <c r="M31" s="24"/>
      <c r="N31" s="24" t="n">
        <f aca="false">COUNTBLANK(E10:AH13)</f>
        <v>70</v>
      </c>
      <c r="O31" s="50" t="n">
        <f aca="false">J31+N31</f>
        <v>120</v>
      </c>
      <c r="Q31" s="24" t="s">
        <v>60</v>
      </c>
      <c r="R31" s="24" t="n">
        <v>4</v>
      </c>
      <c r="S31" s="24" t="n">
        <v>120</v>
      </c>
      <c r="T31" s="24" t="n">
        <v>50</v>
      </c>
      <c r="U31" s="48" t="n">
        <f aca="false">T31/S31</f>
        <v>0.416666666666667</v>
      </c>
    </row>
    <row r="32" customFormat="false" ht="15.75" hidden="false" customHeight="true" outlineLevel="0" collapsed="false">
      <c r="B32" s="24" t="s">
        <v>71</v>
      </c>
      <c r="C32" s="24" t="n">
        <v>3</v>
      </c>
      <c r="D32" s="44" t="n">
        <f aca="false">C32*7</f>
        <v>21</v>
      </c>
      <c r="E32" s="24" t="n">
        <f aca="false">C32*30</f>
        <v>90</v>
      </c>
      <c r="G32" s="24" t="s">
        <v>71</v>
      </c>
      <c r="H32" s="49" t="n">
        <f aca="false">COUNTA(E14:E16)</f>
        <v>3</v>
      </c>
      <c r="I32" s="24"/>
      <c r="J32" s="24" t="n">
        <f aca="false">COUNTA(E14:AH16)</f>
        <v>32</v>
      </c>
      <c r="K32" s="24" t="s">
        <v>71</v>
      </c>
      <c r="L32" s="49" t="n">
        <f aca="false">COUNTBLANK(I14:I16)</f>
        <v>2</v>
      </c>
      <c r="M32" s="24"/>
      <c r="N32" s="24" t="n">
        <f aca="false">COUNTBLANK(E14:AH16)</f>
        <v>58</v>
      </c>
      <c r="O32" s="50" t="n">
        <f aca="false">J32+N32</f>
        <v>90</v>
      </c>
      <c r="Q32" s="24" t="s">
        <v>71</v>
      </c>
      <c r="R32" s="24" t="n">
        <v>3</v>
      </c>
      <c r="S32" s="24" t="n">
        <v>90</v>
      </c>
      <c r="T32" s="24" t="n">
        <v>32</v>
      </c>
      <c r="U32" s="48" t="n">
        <f aca="false">T32/S32</f>
        <v>0.355555555555556</v>
      </c>
    </row>
    <row r="33" customFormat="false" ht="15.75" hidden="false" customHeight="true" outlineLevel="0" collapsed="false">
      <c r="B33" s="24" t="s">
        <v>2743</v>
      </c>
      <c r="C33" s="24" t="n">
        <v>7</v>
      </c>
      <c r="D33" s="44" t="n">
        <f aca="false">C33*7</f>
        <v>49</v>
      </c>
      <c r="E33" s="24" t="n">
        <f aca="false">C33*30</f>
        <v>210</v>
      </c>
      <c r="G33" s="24" t="s">
        <v>2743</v>
      </c>
      <c r="H33" s="49" t="n">
        <v>3</v>
      </c>
      <c r="I33" s="24"/>
      <c r="J33" s="24" t="n">
        <v>81</v>
      </c>
      <c r="K33" s="24" t="s">
        <v>2743</v>
      </c>
      <c r="L33" s="49" t="n">
        <v>3</v>
      </c>
      <c r="M33" s="24"/>
      <c r="N33" s="24" t="n">
        <f aca="false">COUNTBLANK(E17:AH22)</f>
        <v>99</v>
      </c>
      <c r="O33" s="50" t="n">
        <f aca="false">J33+N33</f>
        <v>180</v>
      </c>
      <c r="Q33" s="24" t="s">
        <v>2743</v>
      </c>
      <c r="R33" s="24" t="n">
        <v>7</v>
      </c>
      <c r="S33" s="24" t="n">
        <v>210</v>
      </c>
      <c r="T33" s="24" t="n">
        <v>81</v>
      </c>
      <c r="U33" s="48" t="n">
        <f aca="false">T33/S33</f>
        <v>0.385714285714286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C34*30</f>
        <v>30</v>
      </c>
      <c r="G34" s="24" t="s">
        <v>2744</v>
      </c>
      <c r="H34" s="24" t="n">
        <f aca="false">COUNTA(E24)</f>
        <v>1</v>
      </c>
      <c r="I34" s="24"/>
      <c r="J34" s="24"/>
      <c r="K34" s="24" t="s">
        <v>2744</v>
      </c>
      <c r="L34" s="24" t="n">
        <f aca="false">COUNTBLANK(I24)</f>
        <v>0</v>
      </c>
      <c r="M34" s="24"/>
      <c r="N34" s="24"/>
      <c r="O34" s="50" t="n">
        <f aca="false">J34+N34</f>
        <v>0</v>
      </c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3" t="s">
        <v>2746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COUNTIF($E$4:$AH$24,B39)</f>
        <v>42</v>
      </c>
      <c r="M39" s="75" t="s">
        <v>2737</v>
      </c>
      <c r="N39" s="54" t="s">
        <v>2749</v>
      </c>
      <c r="O39" s="54" t="s">
        <v>2750</v>
      </c>
      <c r="P39" s="54" t="s">
        <v>2751</v>
      </c>
      <c r="Q39" s="54" t="s">
        <v>2752</v>
      </c>
      <c r="R39" s="54" t="s">
        <v>2753</v>
      </c>
      <c r="S39" s="54" t="s">
        <v>2754</v>
      </c>
      <c r="T39" s="54" t="s">
        <v>2755</v>
      </c>
      <c r="U39" s="54" t="s">
        <v>36</v>
      </c>
      <c r="V39" s="54" t="s">
        <v>2756</v>
      </c>
      <c r="W39" s="54" t="s">
        <v>2757</v>
      </c>
      <c r="X39" s="54" t="s">
        <v>2758</v>
      </c>
      <c r="Y39" s="43" t="s">
        <v>2759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COUNTIF($E$4:$AH$24,B40)</f>
        <v>5</v>
      </c>
      <c r="M40" s="24" t="s">
        <v>65</v>
      </c>
      <c r="N40" s="77" t="n">
        <v>107</v>
      </c>
      <c r="O40" s="78" t="n">
        <f aca="false">COUNTIF($E$4:$AI$9,O44)</f>
        <v>22</v>
      </c>
      <c r="P40" s="78" t="n">
        <f aca="false">COUNTIF($E$4:$AI$9,P44)</f>
        <v>3</v>
      </c>
      <c r="Q40" s="78" t="n">
        <f aca="false">COUNTIF($E$4:$AI$9,Q44)</f>
        <v>1</v>
      </c>
      <c r="R40" s="78" t="n">
        <f aca="false">COUNTIF($E$4:$AI$9,R44)</f>
        <v>68</v>
      </c>
      <c r="S40" s="78" t="n">
        <f aca="false">COUNTIF($E$4:$AI$9,S44)</f>
        <v>6</v>
      </c>
      <c r="T40" s="78" t="n">
        <f aca="false">COUNTIF($E$4:$AI$9,T44)</f>
        <v>0</v>
      </c>
      <c r="U40" s="78" t="n">
        <f aca="false">COUNTIF($E$4:$AI$9,U44)</f>
        <v>0</v>
      </c>
      <c r="V40" s="78" t="n">
        <f aca="false">COUNTIF($E$4:$AI$9,V44)</f>
        <v>5</v>
      </c>
      <c r="W40" s="78" t="n">
        <f aca="false">COUNTIF($E$4:$AI$9,W44)</f>
        <v>0</v>
      </c>
      <c r="X40" s="78" t="n">
        <f aca="false">COUNTIF($E$4:$AI$9,X44)</f>
        <v>1</v>
      </c>
      <c r="Y40" s="78" t="n">
        <f aca="false">COUNTIF($E$4:$AI$9,Y44)</f>
        <v>1</v>
      </c>
      <c r="Z40" s="50" t="n">
        <f aca="false">SUM(O40:Y40)</f>
        <v>107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COUNTIF($E$4:$AH$24,B41)</f>
        <v>15</v>
      </c>
      <c r="M41" s="24" t="s">
        <v>60</v>
      </c>
      <c r="N41" s="77" t="n">
        <v>50</v>
      </c>
      <c r="O41" s="78" t="n">
        <f aca="false">COUNTIF($E$10:$AI$13,O44)</f>
        <v>7</v>
      </c>
      <c r="P41" s="78" t="n">
        <f aca="false">COUNTIF($E$10:$AI$13,P44)</f>
        <v>1</v>
      </c>
      <c r="Q41" s="78" t="n">
        <f aca="false">COUNTIF($E$10:$AI$13,Q44)</f>
        <v>0</v>
      </c>
      <c r="R41" s="78" t="n">
        <f aca="false">COUNTIF($E$10:$AI$13,R44)</f>
        <v>37</v>
      </c>
      <c r="S41" s="78" t="n">
        <f aca="false">COUNTIF($E$10:$AI$13,S44)</f>
        <v>0</v>
      </c>
      <c r="T41" s="78" t="n">
        <f aca="false">COUNTIF($E$10:$AI$13,T44)</f>
        <v>0</v>
      </c>
      <c r="U41" s="78" t="n">
        <f aca="false">COUNTIF($E$10:$AI$13,U44)</f>
        <v>0</v>
      </c>
      <c r="V41" s="78" t="n">
        <f aca="false">COUNTIF($E$10:$AI$13,V44)</f>
        <v>5</v>
      </c>
      <c r="W41" s="78" t="n">
        <f aca="false">COUNTIF($E$10:$AI$13,W44)</f>
        <v>0</v>
      </c>
      <c r="X41" s="78" t="n">
        <f aca="false">COUNTIF($E$10:$AI$13,X44)</f>
        <v>0</v>
      </c>
      <c r="Y41" s="78" t="n">
        <f aca="false">COUNTIF($E$10:$AI$13,Y44)</f>
        <v>0</v>
      </c>
      <c r="Z41" s="50" t="n">
        <f aca="false">SUM(O41:Y41)</f>
        <v>50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COUNTIF($E$4:$AH$24,B42)</f>
        <v>177</v>
      </c>
      <c r="M42" s="24" t="s">
        <v>71</v>
      </c>
      <c r="N42" s="77" t="n">
        <v>32</v>
      </c>
      <c r="O42" s="78" t="n">
        <f aca="false">COUNTIF($E$14:$AI$16,O44)</f>
        <v>4</v>
      </c>
      <c r="P42" s="78" t="n">
        <f aca="false">COUNTIF($E$14:$AI$16,P44)</f>
        <v>1</v>
      </c>
      <c r="Q42" s="78" t="n">
        <f aca="false">COUNTIF($E$14:$AI$16,Q44)</f>
        <v>1</v>
      </c>
      <c r="R42" s="78" t="n">
        <f aca="false">COUNTIF($E$14:$AI$16,R44)</f>
        <v>19</v>
      </c>
      <c r="S42" s="78" t="n">
        <f aca="false">COUNTIF($E$14:$AI$16,S44)</f>
        <v>0</v>
      </c>
      <c r="T42" s="78" t="n">
        <f aca="false">COUNTIF($E$14:$AI$16,T44)</f>
        <v>0</v>
      </c>
      <c r="U42" s="78" t="n">
        <f aca="false">COUNTIF($E$14:$AI$16,U44)</f>
        <v>0</v>
      </c>
      <c r="V42" s="78" t="n">
        <f aca="false">COUNTIF($E$14:$AI$16,V44)</f>
        <v>4</v>
      </c>
      <c r="W42" s="78" t="n">
        <f aca="false">COUNTIF($E$14:$AI$16,W44)</f>
        <v>0</v>
      </c>
      <c r="X42" s="78" t="n">
        <f aca="false">COUNTIF($E$14:$AI$16,X44)</f>
        <v>0</v>
      </c>
      <c r="Y42" s="78" t="n">
        <f aca="false">COUNTIF($E$14:$AI$16,Y44)</f>
        <v>0</v>
      </c>
      <c r="Z42" s="50" t="n">
        <f aca="false">SUM(O42:Y42)</f>
        <v>29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COUNTIF($E$4:$AH$24,B43)</f>
        <v>6</v>
      </c>
      <c r="M43" s="24" t="s">
        <v>2743</v>
      </c>
      <c r="N43" s="77" t="n">
        <v>81</v>
      </c>
      <c r="O43" s="78" t="n">
        <f aca="false">COUNTIF($E$17:$AI$23,O44)</f>
        <v>9</v>
      </c>
      <c r="P43" s="78" t="n">
        <f aca="false">COUNTIF($E$17:$AI$23,P44)</f>
        <v>0</v>
      </c>
      <c r="Q43" s="78" t="n">
        <f aca="false">COUNTIF($E$17:$AI$23,Q44)</f>
        <v>13</v>
      </c>
      <c r="R43" s="78" t="n">
        <f aca="false">COUNTIF($E$17:$AI$23,R44)</f>
        <v>53</v>
      </c>
      <c r="S43" s="78" t="n">
        <f aca="false">COUNTIF($E$17:$AI$23,S44)</f>
        <v>0</v>
      </c>
      <c r="T43" s="78" t="n">
        <f aca="false">COUNTIF($E$17:$AI$23,T44)</f>
        <v>0</v>
      </c>
      <c r="U43" s="78" t="n">
        <f aca="false">COUNTIF($E$17:$AI$23,U44)</f>
        <v>0</v>
      </c>
      <c r="V43" s="78" t="n">
        <f aca="false">COUNTIF($E$17:$AI$23,V44)</f>
        <v>6</v>
      </c>
      <c r="W43" s="78" t="n">
        <f aca="false">COUNTIF($E$17:$AI$23,W44)</f>
        <v>0</v>
      </c>
      <c r="X43" s="78" t="n">
        <f aca="false">COUNTIF($E$17:$AI$23,X44)</f>
        <v>0</v>
      </c>
      <c r="Y43" s="78" t="n">
        <f aca="false">COUNTIF($E$17:$AI$23,Y44)</f>
        <v>0</v>
      </c>
      <c r="Z43" s="50" t="n">
        <f aca="false">SUM(O43:Y43)</f>
        <v>81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COUNTIF($E$4:$AH$24,B44)</f>
        <v>0</v>
      </c>
      <c r="M44" s="50"/>
      <c r="N44" s="50"/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  <c r="Z44" s="50" t="n">
        <f aca="false">SUM(O44:Y44)</f>
        <v>0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COUNTIF($E$4:$AH$24,B45)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COUNTIF($E$4:$AH$24,B46)</f>
        <v>20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COUNTIF($E$4:$AH$24,B47)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COUNTIF($E$4:$AH$24,B48)</f>
        <v>1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1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8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17" min="17" style="1" width="15"/>
    <col collapsed="false" customWidth="true" hidden="false" outlineLevel="0" max="20" min="18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2777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2717</v>
      </c>
      <c r="F2" s="15" t="s">
        <v>2718</v>
      </c>
      <c r="G2" s="16" t="s">
        <v>2719</v>
      </c>
      <c r="H2" s="16" t="s">
        <v>2720</v>
      </c>
      <c r="I2" s="15" t="s">
        <v>2721</v>
      </c>
      <c r="J2" s="15" t="s">
        <v>2722</v>
      </c>
      <c r="K2" s="15" t="s">
        <v>2716</v>
      </c>
      <c r="L2" s="15" t="s">
        <v>2717</v>
      </c>
      <c r="M2" s="15" t="s">
        <v>2718</v>
      </c>
      <c r="N2" s="16" t="s">
        <v>2719</v>
      </c>
      <c r="O2" s="16" t="s">
        <v>2720</v>
      </c>
      <c r="P2" s="15" t="s">
        <v>2721</v>
      </c>
      <c r="Q2" s="15" t="s">
        <v>2722</v>
      </c>
      <c r="R2" s="15" t="s">
        <v>2716</v>
      </c>
      <c r="S2" s="15" t="s">
        <v>2717</v>
      </c>
      <c r="T2" s="15" t="s">
        <v>2718</v>
      </c>
      <c r="U2" s="16" t="s">
        <v>2719</v>
      </c>
      <c r="V2" s="16" t="s">
        <v>2720</v>
      </c>
      <c r="W2" s="15" t="s">
        <v>2721</v>
      </c>
      <c r="X2" s="15" t="s">
        <v>2722</v>
      </c>
      <c r="Y2" s="15" t="s">
        <v>2716</v>
      </c>
      <c r="Z2" s="15" t="s">
        <v>2717</v>
      </c>
      <c r="AA2" s="15" t="s">
        <v>2718</v>
      </c>
      <c r="AB2" s="16" t="s">
        <v>2719</v>
      </c>
      <c r="AC2" s="16" t="s">
        <v>2720</v>
      </c>
      <c r="AD2" s="15" t="s">
        <v>2721</v>
      </c>
      <c r="AE2" s="15" t="s">
        <v>2722</v>
      </c>
      <c r="AF2" s="15" t="s">
        <v>2716</v>
      </c>
      <c r="AG2" s="15" t="s">
        <v>2717</v>
      </c>
      <c r="AH2" s="15" t="s">
        <v>2718</v>
      </c>
      <c r="AI2" s="16" t="s">
        <v>2719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45505</v>
      </c>
      <c r="F3" s="19" t="n">
        <v>45506</v>
      </c>
      <c r="G3" s="19" t="n">
        <v>45507</v>
      </c>
      <c r="H3" s="19" t="n">
        <v>45508</v>
      </c>
      <c r="I3" s="19" t="n">
        <v>45509</v>
      </c>
      <c r="J3" s="19" t="n">
        <v>45510</v>
      </c>
      <c r="K3" s="19" t="n">
        <v>45511</v>
      </c>
      <c r="L3" s="19" t="n">
        <v>45512</v>
      </c>
      <c r="M3" s="19" t="n">
        <v>45513</v>
      </c>
      <c r="N3" s="19" t="n">
        <v>45514</v>
      </c>
      <c r="O3" s="19" t="n">
        <v>45515</v>
      </c>
      <c r="P3" s="19" t="n">
        <v>45516</v>
      </c>
      <c r="Q3" s="19" t="n">
        <v>45517</v>
      </c>
      <c r="R3" s="19" t="n">
        <v>45518</v>
      </c>
      <c r="S3" s="19" t="n">
        <v>45519</v>
      </c>
      <c r="T3" s="19" t="n">
        <v>45520</v>
      </c>
      <c r="U3" s="19" t="n">
        <v>45521</v>
      </c>
      <c r="V3" s="19" t="n">
        <v>45522</v>
      </c>
      <c r="W3" s="19" t="n">
        <v>45523</v>
      </c>
      <c r="X3" s="19" t="n">
        <v>45524</v>
      </c>
      <c r="Y3" s="19" t="n">
        <v>45525</v>
      </c>
      <c r="Z3" s="19" t="n">
        <v>45526</v>
      </c>
      <c r="AA3" s="19" t="n">
        <v>45527</v>
      </c>
      <c r="AB3" s="19" t="n">
        <v>45528</v>
      </c>
      <c r="AC3" s="19" t="n">
        <v>45529</v>
      </c>
      <c r="AD3" s="19" t="n">
        <v>45530</v>
      </c>
      <c r="AE3" s="19" t="n">
        <v>45531</v>
      </c>
      <c r="AF3" s="19" t="n">
        <v>45532</v>
      </c>
      <c r="AG3" s="19" t="n">
        <v>45533</v>
      </c>
      <c r="AH3" s="19" t="n">
        <v>45534</v>
      </c>
      <c r="AI3" s="19" t="n">
        <v>45535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/>
      <c r="G4" s="24"/>
      <c r="H4" s="24"/>
      <c r="I4" s="24"/>
      <c r="J4" s="24"/>
      <c r="K4" s="24"/>
      <c r="L4" s="24"/>
      <c r="M4" s="24" t="s">
        <v>43</v>
      </c>
      <c r="N4" s="24" t="s">
        <v>43</v>
      </c>
      <c r="O4" s="24" t="s">
        <v>2760</v>
      </c>
      <c r="P4" s="24"/>
      <c r="Q4" s="24"/>
      <c r="R4" s="24"/>
      <c r="S4" s="24" t="s">
        <v>2761</v>
      </c>
      <c r="T4" s="24" t="s">
        <v>43</v>
      </c>
      <c r="U4" s="24"/>
      <c r="V4" s="24"/>
      <c r="W4" s="24"/>
      <c r="X4" s="24" t="s">
        <v>43</v>
      </c>
      <c r="Y4" s="24"/>
      <c r="Z4" s="24"/>
      <c r="AA4" s="24" t="s">
        <v>43</v>
      </c>
      <c r="AB4" s="24" t="s">
        <v>43</v>
      </c>
      <c r="AC4" s="24" t="s">
        <v>43</v>
      </c>
      <c r="AD4" s="24"/>
      <c r="AE4" s="24"/>
      <c r="AF4" s="24" t="s">
        <v>43</v>
      </c>
      <c r="AG4" s="24"/>
      <c r="AH4" s="24"/>
      <c r="AI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 t="s">
        <v>2761</v>
      </c>
      <c r="F5" s="24" t="s">
        <v>2761</v>
      </c>
      <c r="G5" s="24" t="s">
        <v>2761</v>
      </c>
      <c r="H5" s="24" t="s">
        <v>43</v>
      </c>
      <c r="I5" s="24" t="s">
        <v>43</v>
      </c>
      <c r="J5" s="24"/>
      <c r="K5" s="24"/>
      <c r="L5" s="24"/>
      <c r="M5" s="24" t="s">
        <v>43</v>
      </c>
      <c r="N5" s="24" t="s">
        <v>43</v>
      </c>
      <c r="O5" s="24" t="s">
        <v>2760</v>
      </c>
      <c r="P5" s="24" t="s">
        <v>2760</v>
      </c>
      <c r="Q5" s="24" t="s">
        <v>2760</v>
      </c>
      <c r="R5" s="24" t="s">
        <v>2760</v>
      </c>
      <c r="S5" s="24" t="s">
        <v>43</v>
      </c>
      <c r="T5" s="24" t="s">
        <v>43</v>
      </c>
      <c r="U5" s="24" t="s">
        <v>43</v>
      </c>
      <c r="V5" s="24" t="s">
        <v>43</v>
      </c>
      <c r="W5" s="24" t="s">
        <v>43</v>
      </c>
      <c r="X5" s="24"/>
      <c r="Y5" s="24"/>
      <c r="Z5" s="24"/>
      <c r="AA5" s="24"/>
      <c r="AB5" s="24" t="s">
        <v>43</v>
      </c>
      <c r="AC5" s="20" t="s">
        <v>43</v>
      </c>
      <c r="AD5" s="20" t="s">
        <v>43</v>
      </c>
      <c r="AE5" s="20" t="s">
        <v>43</v>
      </c>
      <c r="AF5" s="20" t="s">
        <v>43</v>
      </c>
      <c r="AG5" s="20" t="s">
        <v>43</v>
      </c>
      <c r="AH5" s="24"/>
      <c r="AI5" s="24" t="s">
        <v>43</v>
      </c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 t="s">
        <v>43</v>
      </c>
      <c r="F6" s="24" t="s">
        <v>43</v>
      </c>
      <c r="G6" s="24" t="s">
        <v>43</v>
      </c>
      <c r="H6" s="24" t="s">
        <v>43</v>
      </c>
      <c r="I6" s="24"/>
      <c r="J6" s="24" t="s">
        <v>43</v>
      </c>
      <c r="K6" s="24" t="s">
        <v>43</v>
      </c>
      <c r="L6" s="24"/>
      <c r="M6" s="24"/>
      <c r="N6" s="24" t="s">
        <v>2761</v>
      </c>
      <c r="O6" s="24" t="s">
        <v>2761</v>
      </c>
      <c r="P6" s="24" t="s">
        <v>43</v>
      </c>
      <c r="Q6" s="24"/>
      <c r="R6" s="24"/>
      <c r="S6" s="24" t="s">
        <v>2760</v>
      </c>
      <c r="T6" s="24" t="s">
        <v>43</v>
      </c>
      <c r="U6" s="24" t="s">
        <v>43</v>
      </c>
      <c r="V6" s="24"/>
      <c r="W6" s="115" t="s">
        <v>43</v>
      </c>
      <c r="X6" s="24"/>
      <c r="Y6" s="24"/>
      <c r="Z6" s="24"/>
      <c r="AA6" s="24"/>
      <c r="AB6" s="121" t="s">
        <v>43</v>
      </c>
      <c r="AC6" s="20" t="s">
        <v>43</v>
      </c>
      <c r="AD6" s="20" t="s">
        <v>43</v>
      </c>
      <c r="AE6" s="20" t="s">
        <v>43</v>
      </c>
      <c r="AF6" s="20" t="s">
        <v>43</v>
      </c>
      <c r="AG6" s="24" t="s">
        <v>43</v>
      </c>
      <c r="AH6" s="24" t="s">
        <v>2761</v>
      </c>
      <c r="AI6" s="24" t="s">
        <v>2761</v>
      </c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103" t="s">
        <v>43</v>
      </c>
      <c r="F7" s="103" t="s">
        <v>43</v>
      </c>
      <c r="G7" s="103" t="s">
        <v>43</v>
      </c>
      <c r="H7" s="24"/>
      <c r="I7" s="24"/>
      <c r="J7" s="24"/>
      <c r="K7" s="24" t="s">
        <v>2760</v>
      </c>
      <c r="L7" s="24"/>
      <c r="M7" s="24"/>
      <c r="N7" s="24"/>
      <c r="O7" s="24" t="s">
        <v>2761</v>
      </c>
      <c r="P7" s="24" t="s">
        <v>2761</v>
      </c>
      <c r="Q7" s="24" t="s">
        <v>2761</v>
      </c>
      <c r="R7" s="24" t="s">
        <v>2761</v>
      </c>
      <c r="S7" s="24" t="s">
        <v>43</v>
      </c>
      <c r="T7" s="24" t="s">
        <v>43</v>
      </c>
      <c r="U7" s="24" t="s">
        <v>43</v>
      </c>
      <c r="V7" s="24" t="s">
        <v>43</v>
      </c>
      <c r="W7" s="24"/>
      <c r="X7" s="24"/>
      <c r="Y7" s="24" t="s">
        <v>43</v>
      </c>
      <c r="Z7" s="24" t="s">
        <v>43</v>
      </c>
      <c r="AA7" s="24" t="s">
        <v>43</v>
      </c>
      <c r="AB7" s="24" t="s">
        <v>43</v>
      </c>
      <c r="AC7" s="24" t="s">
        <v>43</v>
      </c>
      <c r="AD7" s="24"/>
      <c r="AE7" s="24" t="s">
        <v>43</v>
      </c>
      <c r="AF7" s="24"/>
      <c r="AG7" s="24" t="s">
        <v>2761</v>
      </c>
      <c r="AH7" s="24"/>
      <c r="AI7" s="24" t="s">
        <v>43</v>
      </c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/>
      <c r="F8" s="24" t="s">
        <v>43</v>
      </c>
      <c r="G8" s="24"/>
      <c r="H8" s="24"/>
      <c r="I8" s="24" t="s">
        <v>43</v>
      </c>
      <c r="J8" s="24" t="s">
        <v>43</v>
      </c>
      <c r="K8" s="24" t="s">
        <v>43</v>
      </c>
      <c r="L8" s="24" t="s">
        <v>43</v>
      </c>
      <c r="M8" s="24"/>
      <c r="N8" s="24"/>
      <c r="O8" s="24" t="s">
        <v>43</v>
      </c>
      <c r="P8" s="24" t="s">
        <v>2761</v>
      </c>
      <c r="Q8" s="24"/>
      <c r="R8" s="24"/>
      <c r="S8" s="24"/>
      <c r="T8" s="24" t="s">
        <v>43</v>
      </c>
      <c r="U8" s="24" t="s">
        <v>43</v>
      </c>
      <c r="V8" s="24"/>
      <c r="W8" s="24" t="s">
        <v>43</v>
      </c>
      <c r="X8" s="24"/>
      <c r="Y8" s="24"/>
      <c r="Z8" s="24" t="s">
        <v>43</v>
      </c>
      <c r="AA8" s="24"/>
      <c r="AB8" s="24" t="s">
        <v>43</v>
      </c>
      <c r="AC8" s="20" t="s">
        <v>43</v>
      </c>
      <c r="AD8" s="20" t="s">
        <v>43</v>
      </c>
      <c r="AE8" s="20" t="s">
        <v>43</v>
      </c>
      <c r="AF8" s="20" t="s">
        <v>43</v>
      </c>
      <c r="AG8" s="24"/>
      <c r="AH8" s="24" t="s">
        <v>43</v>
      </c>
      <c r="AI8" s="24" t="s">
        <v>43</v>
      </c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 t="s">
        <v>43</v>
      </c>
      <c r="F9" s="24" t="s">
        <v>43</v>
      </c>
      <c r="G9" s="106" t="s">
        <v>2762</v>
      </c>
      <c r="H9" s="106" t="s">
        <v>2762</v>
      </c>
      <c r="I9" s="106" t="s">
        <v>2762</v>
      </c>
      <c r="J9" s="24"/>
      <c r="K9" s="24" t="s">
        <v>43</v>
      </c>
      <c r="L9" s="24"/>
      <c r="M9" s="24" t="s">
        <v>43</v>
      </c>
      <c r="N9" s="24" t="s">
        <v>43</v>
      </c>
      <c r="O9" s="24" t="s">
        <v>43</v>
      </c>
      <c r="P9" s="24"/>
      <c r="Q9" s="24"/>
      <c r="R9" s="24"/>
      <c r="S9" s="24"/>
      <c r="T9" s="24"/>
      <c r="U9" s="24"/>
      <c r="V9" s="24"/>
      <c r="W9" s="24"/>
      <c r="X9" s="24" t="s">
        <v>43</v>
      </c>
      <c r="Y9" s="24" t="s">
        <v>43</v>
      </c>
      <c r="Z9" s="24" t="s">
        <v>43</v>
      </c>
      <c r="AA9" s="24"/>
      <c r="AB9" s="24" t="s">
        <v>43</v>
      </c>
      <c r="AC9" s="24" t="s">
        <v>43</v>
      </c>
      <c r="AD9" s="24" t="s">
        <v>43</v>
      </c>
      <c r="AE9" s="104" t="s">
        <v>43</v>
      </c>
      <c r="AF9" s="104" t="s">
        <v>43</v>
      </c>
      <c r="AG9" s="24" t="s">
        <v>43</v>
      </c>
      <c r="AH9" s="104" t="s">
        <v>43</v>
      </c>
      <c r="AI9" s="24" t="s">
        <v>43</v>
      </c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24" t="s">
        <v>43</v>
      </c>
      <c r="F10" s="24" t="s">
        <v>43</v>
      </c>
      <c r="G10" s="24" t="s">
        <v>43</v>
      </c>
      <c r="H10" s="24"/>
      <c r="I10" s="24"/>
      <c r="J10" s="24"/>
      <c r="K10" s="24"/>
      <c r="L10" s="24"/>
      <c r="M10" s="24"/>
      <c r="N10" s="24"/>
      <c r="O10" s="24"/>
      <c r="P10" s="24" t="s">
        <v>2761</v>
      </c>
      <c r="Q10" s="24" t="s">
        <v>2761</v>
      </c>
      <c r="R10" s="24"/>
      <c r="S10" s="24"/>
      <c r="T10" s="24"/>
      <c r="U10" s="24"/>
      <c r="V10" s="24"/>
      <c r="W10" s="24"/>
      <c r="X10" s="24"/>
      <c r="Y10" s="24"/>
      <c r="Z10" s="24" t="s">
        <v>43</v>
      </c>
      <c r="AA10" s="24"/>
      <c r="AB10" s="24"/>
      <c r="AC10" s="24"/>
      <c r="AD10" s="24"/>
      <c r="AE10" s="24"/>
      <c r="AF10" s="24"/>
      <c r="AG10" s="24"/>
      <c r="AH10" s="24"/>
      <c r="AI10" s="24" t="s">
        <v>43</v>
      </c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/>
      <c r="F11" s="24" t="s">
        <v>43</v>
      </c>
      <c r="G11" s="24" t="s">
        <v>43</v>
      </c>
      <c r="H11" s="24"/>
      <c r="I11" s="24"/>
      <c r="J11" s="102" t="s">
        <v>43</v>
      </c>
      <c r="K11" s="24"/>
      <c r="L11" s="24"/>
      <c r="M11" s="24"/>
      <c r="N11" s="24"/>
      <c r="O11" s="24"/>
      <c r="P11" s="24"/>
      <c r="Q11" s="24"/>
      <c r="S11" s="24" t="s">
        <v>43</v>
      </c>
      <c r="T11" s="24" t="s">
        <v>43</v>
      </c>
      <c r="U11" s="24" t="s">
        <v>43</v>
      </c>
      <c r="V11" s="24" t="s">
        <v>43</v>
      </c>
      <c r="W11" s="24" t="s">
        <v>43</v>
      </c>
      <c r="X11" s="24" t="s">
        <v>43</v>
      </c>
      <c r="Y11" s="24"/>
      <c r="Z11" s="24" t="s">
        <v>43</v>
      </c>
      <c r="AA11" s="24" t="s">
        <v>43</v>
      </c>
      <c r="AB11" s="24" t="s">
        <v>43</v>
      </c>
      <c r="AC11" s="20" t="s">
        <v>43</v>
      </c>
      <c r="AD11" s="20" t="s">
        <v>43</v>
      </c>
      <c r="AE11" s="20" t="s">
        <v>43</v>
      </c>
      <c r="AF11" s="20" t="s">
        <v>43</v>
      </c>
      <c r="AG11" s="24"/>
      <c r="AH11" s="24"/>
      <c r="AI11" s="24" t="s">
        <v>43</v>
      </c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 t="s">
        <v>2762</v>
      </c>
      <c r="F12" s="24" t="s">
        <v>2762</v>
      </c>
      <c r="G12" s="24" t="s">
        <v>2762</v>
      </c>
      <c r="H12" s="24"/>
      <c r="I12" s="24"/>
      <c r="J12" s="102" t="s">
        <v>43</v>
      </c>
      <c r="K12" s="102" t="s">
        <v>43</v>
      </c>
      <c r="L12" s="24"/>
      <c r="M12" s="24"/>
      <c r="N12" s="24" t="s">
        <v>43</v>
      </c>
      <c r="O12" s="24"/>
      <c r="P12" s="24"/>
      <c r="Q12" s="24"/>
      <c r="R12" s="24"/>
      <c r="S12" s="24"/>
      <c r="T12" s="24"/>
      <c r="U12" s="24" t="s">
        <v>43</v>
      </c>
      <c r="V12" s="24"/>
      <c r="W12" s="115" t="s">
        <v>43</v>
      </c>
      <c r="X12" s="24"/>
      <c r="Y12" s="24" t="s">
        <v>43</v>
      </c>
      <c r="Z12" s="24" t="s">
        <v>2762</v>
      </c>
      <c r="AA12" s="24" t="s">
        <v>2762</v>
      </c>
      <c r="AB12" s="24" t="s">
        <v>2762</v>
      </c>
      <c r="AC12" s="24" t="s">
        <v>2762</v>
      </c>
      <c r="AD12" s="24"/>
      <c r="AE12" s="24"/>
      <c r="AF12" s="24"/>
      <c r="AG12" s="24"/>
      <c r="AH12" s="24"/>
      <c r="AI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103" t="s">
        <v>43</v>
      </c>
      <c r="F13" s="24" t="s">
        <v>2760</v>
      </c>
      <c r="G13" s="106" t="s">
        <v>43</v>
      </c>
      <c r="H13" s="106" t="s">
        <v>43</v>
      </c>
      <c r="I13" s="106" t="s">
        <v>43</v>
      </c>
      <c r="J13" s="24"/>
      <c r="K13" s="24"/>
      <c r="L13" s="24"/>
      <c r="M13" s="24" t="s">
        <v>43</v>
      </c>
      <c r="N13" s="24" t="s">
        <v>43</v>
      </c>
      <c r="O13" s="24"/>
      <c r="P13" s="24"/>
      <c r="Q13" s="24"/>
      <c r="R13" s="24" t="s">
        <v>43</v>
      </c>
      <c r="S13" s="24"/>
      <c r="T13" s="24"/>
      <c r="U13" s="24"/>
      <c r="V13" s="24"/>
      <c r="W13" s="24"/>
      <c r="X13" s="24"/>
      <c r="Y13" s="24" t="s">
        <v>43</v>
      </c>
      <c r="Z13" s="24" t="s">
        <v>43</v>
      </c>
      <c r="AA13" s="24" t="s">
        <v>43</v>
      </c>
      <c r="AB13" s="121" t="s">
        <v>43</v>
      </c>
      <c r="AC13" s="20" t="s">
        <v>43</v>
      </c>
      <c r="AD13" s="20" t="s">
        <v>43</v>
      </c>
      <c r="AE13" s="20" t="s">
        <v>43</v>
      </c>
      <c r="AF13" s="20" t="s">
        <v>43</v>
      </c>
      <c r="AG13" s="24"/>
      <c r="AH13" s="24"/>
      <c r="AI13" s="24"/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24" t="s">
        <v>43</v>
      </c>
      <c r="F14" s="24" t="s">
        <v>2761</v>
      </c>
      <c r="G14" s="24" t="s">
        <v>2761</v>
      </c>
      <c r="H14" s="24" t="s">
        <v>2761</v>
      </c>
      <c r="I14" s="24" t="s">
        <v>2761</v>
      </c>
      <c r="J14" s="24"/>
      <c r="K14" s="24"/>
      <c r="L14" s="24" t="s">
        <v>43</v>
      </c>
      <c r="M14" s="24" t="s">
        <v>43</v>
      </c>
      <c r="N14" s="24"/>
      <c r="O14" s="24"/>
      <c r="P14" s="24"/>
      <c r="Q14" s="24" t="s">
        <v>43</v>
      </c>
      <c r="R14" s="24" t="s">
        <v>43</v>
      </c>
      <c r="S14" s="24" t="s">
        <v>43</v>
      </c>
      <c r="T14" s="24" t="s">
        <v>43</v>
      </c>
      <c r="U14" s="24" t="s">
        <v>43</v>
      </c>
      <c r="V14" s="24" t="s">
        <v>43</v>
      </c>
      <c r="W14" s="24" t="s">
        <v>43</v>
      </c>
      <c r="X14" s="24" t="s">
        <v>43</v>
      </c>
      <c r="Y14" s="24" t="s">
        <v>43</v>
      </c>
      <c r="Z14" s="24" t="s">
        <v>43</v>
      </c>
      <c r="AA14" s="24" t="s">
        <v>43</v>
      </c>
      <c r="AB14" s="24" t="s">
        <v>43</v>
      </c>
      <c r="AC14" s="24" t="s">
        <v>43</v>
      </c>
      <c r="AD14" s="24" t="s">
        <v>43</v>
      </c>
      <c r="AE14" s="24" t="s">
        <v>43</v>
      </c>
      <c r="AF14" s="24"/>
      <c r="AG14" s="24"/>
      <c r="AH14" s="24"/>
      <c r="AI14" s="24"/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 t="s">
        <v>43</v>
      </c>
      <c r="F15" s="38" t="s">
        <v>2766</v>
      </c>
      <c r="G15" s="38" t="s">
        <v>2766</v>
      </c>
      <c r="H15" s="38" t="s">
        <v>2766</v>
      </c>
      <c r="I15" s="24"/>
      <c r="J15" s="24"/>
      <c r="K15" s="24"/>
      <c r="L15" s="24"/>
      <c r="M15" s="24"/>
      <c r="N15" s="24"/>
      <c r="O15" s="24"/>
      <c r="P15" s="24"/>
      <c r="Q15" s="24"/>
      <c r="R15" s="24" t="s">
        <v>43</v>
      </c>
      <c r="S15" s="24" t="s">
        <v>43</v>
      </c>
      <c r="T15" s="24" t="s">
        <v>43</v>
      </c>
      <c r="U15" s="24"/>
      <c r="V15" s="24" t="s">
        <v>43</v>
      </c>
      <c r="W15" s="24" t="s">
        <v>43</v>
      </c>
      <c r="X15" s="24" t="s">
        <v>43</v>
      </c>
      <c r="Y15" s="24"/>
      <c r="Z15" s="24"/>
      <c r="AA15" s="24"/>
      <c r="AB15" s="24"/>
      <c r="AC15" s="24" t="s">
        <v>43</v>
      </c>
      <c r="AD15" s="24" t="s">
        <v>2764</v>
      </c>
      <c r="AE15" s="24" t="s">
        <v>2764</v>
      </c>
      <c r="AF15" s="24"/>
      <c r="AG15" s="24" t="s">
        <v>43</v>
      </c>
      <c r="AH15" s="24" t="s">
        <v>43</v>
      </c>
      <c r="AI15" s="24" t="s">
        <v>43</v>
      </c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 t="s">
        <v>43</v>
      </c>
      <c r="H16" s="24" t="s">
        <v>43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0" t="s">
        <v>43</v>
      </c>
      <c r="AD16" s="20" t="s">
        <v>43</v>
      </c>
      <c r="AE16" s="20" t="s">
        <v>43</v>
      </c>
      <c r="AF16" s="20" t="s">
        <v>43</v>
      </c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/>
      <c r="H17" s="24"/>
      <c r="I17" s="107" t="s">
        <v>43</v>
      </c>
      <c r="J17" s="107" t="s">
        <v>43</v>
      </c>
      <c r="K17" s="107" t="s">
        <v>43</v>
      </c>
      <c r="L17" s="24"/>
      <c r="M17" s="24"/>
      <c r="N17" s="24"/>
      <c r="O17" s="24"/>
      <c r="P17" s="24"/>
      <c r="Q17" s="24"/>
      <c r="R17" s="24" t="s">
        <v>43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/>
      <c r="F18" s="24"/>
      <c r="G18" s="24"/>
      <c r="H18" s="24"/>
      <c r="I18" s="107" t="s">
        <v>43</v>
      </c>
      <c r="J18" s="107" t="s">
        <v>43</v>
      </c>
      <c r="K18" s="107" t="s">
        <v>43</v>
      </c>
      <c r="L18" s="24"/>
      <c r="M18" s="24"/>
      <c r="N18" s="24" t="s">
        <v>43</v>
      </c>
      <c r="O18" s="24"/>
      <c r="P18" s="24"/>
      <c r="Q18" s="24"/>
      <c r="R18" s="24" t="s">
        <v>2764</v>
      </c>
      <c r="S18" s="24" t="s">
        <v>2764</v>
      </c>
      <c r="T18" s="24" t="s">
        <v>2764</v>
      </c>
      <c r="U18" s="24" t="s">
        <v>2764</v>
      </c>
      <c r="V18" s="24" t="s">
        <v>2764</v>
      </c>
      <c r="W18" s="24" t="s">
        <v>2764</v>
      </c>
      <c r="X18" s="24" t="s">
        <v>2764</v>
      </c>
      <c r="Y18" s="24"/>
      <c r="Z18" s="24"/>
      <c r="AA18" s="24"/>
      <c r="AB18" s="24"/>
      <c r="AC18" s="24"/>
      <c r="AD18" s="24"/>
      <c r="AE18" s="24" t="s">
        <v>2762</v>
      </c>
      <c r="AF18" s="24" t="s">
        <v>2762</v>
      </c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24"/>
      <c r="F19" s="24"/>
      <c r="G19" s="24" t="s">
        <v>43</v>
      </c>
      <c r="H19" s="24"/>
      <c r="I19" s="107" t="s">
        <v>43</v>
      </c>
      <c r="J19" s="107" t="s">
        <v>43</v>
      </c>
      <c r="K19" s="107" t="s">
        <v>43</v>
      </c>
      <c r="L19" s="24"/>
      <c r="M19" s="24"/>
      <c r="N19" s="24"/>
      <c r="O19" s="24"/>
      <c r="P19" s="24"/>
      <c r="Q19" s="24"/>
      <c r="R19" s="24" t="s">
        <v>43</v>
      </c>
      <c r="S19" s="24" t="s">
        <v>2764</v>
      </c>
      <c r="T19" s="24" t="s">
        <v>2764</v>
      </c>
      <c r="U19" s="24" t="s">
        <v>2762</v>
      </c>
      <c r="V19" s="24" t="s">
        <v>2762</v>
      </c>
      <c r="W19" s="24" t="s">
        <v>2762</v>
      </c>
      <c r="X19" s="24" t="s">
        <v>2761</v>
      </c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/>
      <c r="G20" s="106" t="s">
        <v>43</v>
      </c>
      <c r="H20" s="106" t="s">
        <v>43</v>
      </c>
      <c r="I20" s="106" t="s">
        <v>43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 t="s">
        <v>43</v>
      </c>
      <c r="U20" s="24" t="s">
        <v>43</v>
      </c>
      <c r="V20" s="24" t="s">
        <v>43</v>
      </c>
      <c r="W20" s="24" t="s">
        <v>43</v>
      </c>
      <c r="X20" s="24"/>
      <c r="Y20" s="24" t="s">
        <v>43</v>
      </c>
      <c r="Z20" s="24" t="s">
        <v>43</v>
      </c>
      <c r="AA20" s="24" t="s">
        <v>43</v>
      </c>
      <c r="AB20" s="24"/>
      <c r="AC20" s="24"/>
      <c r="AD20" s="24" t="s">
        <v>43</v>
      </c>
      <c r="AE20" s="24" t="s">
        <v>43</v>
      </c>
      <c r="AF20" s="24" t="s">
        <v>43</v>
      </c>
      <c r="AG20" s="24" t="s">
        <v>43</v>
      </c>
      <c r="AH20" s="24" t="s">
        <v>43</v>
      </c>
      <c r="AI20" s="24" t="s">
        <v>43</v>
      </c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24"/>
      <c r="F21" s="24"/>
      <c r="G21" s="106" t="s">
        <v>43</v>
      </c>
      <c r="H21" s="106" t="s">
        <v>43</v>
      </c>
      <c r="I21" s="106" t="s">
        <v>43</v>
      </c>
      <c r="J21" s="24"/>
      <c r="K21" s="24"/>
      <c r="L21" s="24"/>
      <c r="M21" s="24"/>
      <c r="N21" s="24" t="s">
        <v>43</v>
      </c>
      <c r="O21" s="24"/>
      <c r="P21" s="24"/>
      <c r="Q21" s="24"/>
      <c r="R21" s="24"/>
      <c r="S21" s="24"/>
      <c r="T21" s="24"/>
      <c r="U21" s="24"/>
      <c r="V21" s="24"/>
      <c r="W21" s="24" t="s">
        <v>2764</v>
      </c>
      <c r="X21" s="24"/>
      <c r="Y21" s="24" t="s">
        <v>43</v>
      </c>
      <c r="Z21" s="24" t="s">
        <v>43</v>
      </c>
      <c r="AA21" s="24" t="s">
        <v>43</v>
      </c>
      <c r="AB21" s="24" t="s">
        <v>43</v>
      </c>
      <c r="AC21" s="24"/>
      <c r="AD21" s="24" t="s">
        <v>43</v>
      </c>
      <c r="AE21" s="24" t="s">
        <v>43</v>
      </c>
      <c r="AF21" s="24" t="s">
        <v>43</v>
      </c>
      <c r="AG21" s="24"/>
      <c r="AH21" s="24" t="s">
        <v>43</v>
      </c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 t="s">
        <v>43</v>
      </c>
      <c r="F22" s="24" t="s">
        <v>43</v>
      </c>
      <c r="G22" s="106" t="s">
        <v>43</v>
      </c>
      <c r="H22" s="106" t="s">
        <v>43</v>
      </c>
      <c r="I22" s="106" t="s">
        <v>43</v>
      </c>
      <c r="J22" s="24" t="s">
        <v>43</v>
      </c>
      <c r="K22" s="24"/>
      <c r="L22" s="24"/>
      <c r="M22" s="24" t="s">
        <v>2760</v>
      </c>
      <c r="N22" s="24" t="s">
        <v>2760</v>
      </c>
      <c r="O22" s="24" t="s">
        <v>2760</v>
      </c>
      <c r="P22" s="24"/>
      <c r="Q22" s="24"/>
      <c r="R22" s="24"/>
      <c r="S22" s="24"/>
      <c r="T22" s="24"/>
      <c r="U22" s="24" t="s">
        <v>43</v>
      </c>
      <c r="V22" s="24"/>
      <c r="W22" s="24"/>
      <c r="X22" s="24" t="s">
        <v>2761</v>
      </c>
      <c r="Y22" s="24" t="s">
        <v>2761</v>
      </c>
      <c r="Z22" s="24" t="s">
        <v>2761</v>
      </c>
      <c r="AA22" s="24" t="s">
        <v>43</v>
      </c>
      <c r="AB22" s="24" t="s">
        <v>43</v>
      </c>
      <c r="AC22" s="24"/>
      <c r="AD22" s="24" t="s">
        <v>43</v>
      </c>
      <c r="AE22" s="24"/>
      <c r="AF22" s="24"/>
      <c r="AG22" s="24"/>
      <c r="AH22" s="24"/>
      <c r="AI22" s="24" t="s">
        <v>43</v>
      </c>
    </row>
    <row r="23" customFormat="false" ht="15.75" hidden="false" customHeight="true" outlineLevel="0" collapsed="false">
      <c r="A23" s="33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 t="s">
        <v>2729</v>
      </c>
      <c r="Y23" s="24" t="s">
        <v>2729</v>
      </c>
      <c r="Z23" s="24" t="s">
        <v>2729</v>
      </c>
      <c r="AA23" s="24" t="s">
        <v>2729</v>
      </c>
      <c r="AB23" s="24" t="s">
        <v>2729</v>
      </c>
      <c r="AC23" s="24" t="s">
        <v>2729</v>
      </c>
      <c r="AD23" s="24" t="s">
        <v>2729</v>
      </c>
      <c r="AE23" s="24" t="s">
        <v>2729</v>
      </c>
      <c r="AF23" s="24" t="s">
        <v>2729</v>
      </c>
      <c r="AG23" s="24" t="s">
        <v>2729</v>
      </c>
      <c r="AH23" s="24" t="s">
        <v>2729</v>
      </c>
      <c r="AI23" s="24" t="s">
        <v>2729</v>
      </c>
    </row>
    <row r="24" customFormat="false" ht="15.75" hidden="false" customHeight="true" outlineLevel="0" collapsed="false">
      <c r="A24" s="38" t="n">
        <v>21</v>
      </c>
      <c r="B24" s="50" t="s">
        <v>209</v>
      </c>
      <c r="C24" s="50" t="s">
        <v>209</v>
      </c>
      <c r="D24" s="23" t="n">
        <v>1</v>
      </c>
      <c r="E24" s="24" t="s">
        <v>2729</v>
      </c>
      <c r="F24" s="24" t="s">
        <v>2729</v>
      </c>
      <c r="G24" s="24" t="s">
        <v>2729</v>
      </c>
      <c r="H24" s="24" t="s">
        <v>2729</v>
      </c>
      <c r="I24" s="24" t="s">
        <v>2729</v>
      </c>
      <c r="J24" s="24" t="s">
        <v>2729</v>
      </c>
      <c r="K24" s="24" t="s">
        <v>2729</v>
      </c>
      <c r="L24" s="24" t="s">
        <v>2729</v>
      </c>
      <c r="M24" s="24" t="s">
        <v>2729</v>
      </c>
      <c r="N24" s="24" t="s">
        <v>2729</v>
      </c>
      <c r="O24" s="24" t="s">
        <v>2729</v>
      </c>
      <c r="P24" s="24" t="s">
        <v>2729</v>
      </c>
      <c r="Q24" s="24" t="s">
        <v>2729</v>
      </c>
      <c r="R24" s="24" t="s">
        <v>2729</v>
      </c>
      <c r="S24" s="24" t="s">
        <v>2729</v>
      </c>
      <c r="T24" s="24" t="s">
        <v>2729</v>
      </c>
      <c r="U24" s="24" t="s">
        <v>2729</v>
      </c>
      <c r="V24" s="24" t="s">
        <v>2729</v>
      </c>
      <c r="W24" s="24" t="s">
        <v>2729</v>
      </c>
      <c r="X24" s="24" t="s">
        <v>2729</v>
      </c>
      <c r="Y24" s="24" t="s">
        <v>2729</v>
      </c>
      <c r="Z24" s="24" t="s">
        <v>2729</v>
      </c>
      <c r="AA24" s="24" t="s">
        <v>2729</v>
      </c>
      <c r="AB24" s="24" t="s">
        <v>2729</v>
      </c>
      <c r="AC24" s="24" t="s">
        <v>2729</v>
      </c>
      <c r="AD24" s="24" t="s">
        <v>2729</v>
      </c>
      <c r="AE24" s="24" t="s">
        <v>2729</v>
      </c>
      <c r="AF24" s="24" t="s">
        <v>2729</v>
      </c>
      <c r="AG24" s="24" t="s">
        <v>2729</v>
      </c>
      <c r="AH24" s="24" t="s">
        <v>2729</v>
      </c>
      <c r="AI24" s="24" t="s">
        <v>2729</v>
      </c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72" t="s">
        <v>2732</v>
      </c>
      <c r="R27" s="72"/>
      <c r="S27" s="72"/>
      <c r="T27" s="72"/>
      <c r="U27" s="7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4" t="s">
        <v>2734</v>
      </c>
      <c r="S28" s="44" t="s">
        <v>2736</v>
      </c>
      <c r="T28" s="44" t="s">
        <v>2738</v>
      </c>
      <c r="U28" s="44" t="s">
        <v>2739</v>
      </c>
    </row>
    <row r="29" customFormat="false" ht="15.75" hidden="false" customHeight="true" outlineLevel="0" collapsed="false">
      <c r="B29" s="24" t="s">
        <v>2740</v>
      </c>
      <c r="C29" s="24" t="n">
        <v>21</v>
      </c>
      <c r="D29" s="44" t="n">
        <f aca="false">C29*7</f>
        <v>147</v>
      </c>
      <c r="E29" s="24" t="n">
        <f aca="false">C29*31</f>
        <v>651</v>
      </c>
      <c r="G29" s="44"/>
      <c r="H29" s="47" t="n">
        <v>45505</v>
      </c>
      <c r="I29" s="44" t="s">
        <v>2778</v>
      </c>
      <c r="J29" s="44" t="s">
        <v>2779</v>
      </c>
      <c r="K29" s="44"/>
      <c r="L29" s="47" t="n">
        <v>45505</v>
      </c>
      <c r="M29" s="44" t="s">
        <v>2778</v>
      </c>
      <c r="N29" s="44" t="s">
        <v>2779</v>
      </c>
      <c r="Q29" s="36" t="s">
        <v>2740</v>
      </c>
      <c r="R29" s="24" t="n">
        <v>20</v>
      </c>
      <c r="S29" s="24" t="n">
        <v>651</v>
      </c>
      <c r="T29" s="50" t="n">
        <f aca="false">SUM(T30:T33)</f>
        <v>284</v>
      </c>
      <c r="U29" s="48" t="n">
        <f aca="false">T29/S29</f>
        <v>0.436251920122888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4</v>
      </c>
      <c r="I30" s="24" t="n">
        <f aca="false">COUNTA(J4:P9)</f>
        <v>24</v>
      </c>
      <c r="J30" s="24" t="n">
        <f aca="false">COUNTA(E4:AI9)</f>
        <v>112</v>
      </c>
      <c r="K30" s="24" t="s">
        <v>65</v>
      </c>
      <c r="L30" s="24" t="n">
        <f aca="false">COUNTBLANK(E4:E9)</f>
        <v>2</v>
      </c>
      <c r="M30" s="24" t="n">
        <f aca="false">COUNTBLANK(J4:P9)</f>
        <v>18</v>
      </c>
      <c r="N30" s="49" t="n">
        <f aca="false">COUNTBLANK(E4:AI9)</f>
        <v>74</v>
      </c>
      <c r="Q30" s="24" t="s">
        <v>65</v>
      </c>
      <c r="R30" s="24" t="n">
        <v>6</v>
      </c>
      <c r="S30" s="24" t="n">
        <v>186</v>
      </c>
      <c r="T30" s="24" t="n">
        <v>112</v>
      </c>
      <c r="U30" s="48" t="n">
        <f aca="false">T30/S30</f>
        <v>0.602150537634409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49" t="n">
        <f aca="false">COUNTA(E10:E13)</f>
        <v>3</v>
      </c>
      <c r="I31" s="24"/>
      <c r="J31" s="24" t="n">
        <f aca="false">COUNTA(E10:AI13)</f>
        <v>54</v>
      </c>
      <c r="K31" s="24" t="s">
        <v>60</v>
      </c>
      <c r="L31" s="49" t="n">
        <f aca="false">COUNTBLANK(I10:I14)</f>
        <v>3</v>
      </c>
      <c r="M31" s="24"/>
      <c r="N31" s="24" t="n">
        <f aca="false">COUNTBLANK(E10:AI13)</f>
        <v>70</v>
      </c>
      <c r="Q31" s="24" t="s">
        <v>60</v>
      </c>
      <c r="R31" s="24" t="n">
        <v>4</v>
      </c>
      <c r="S31" s="24" t="n">
        <v>124</v>
      </c>
      <c r="T31" s="24" t="n">
        <v>54</v>
      </c>
      <c r="U31" s="48" t="n">
        <f aca="false">T31/S31</f>
        <v>0.435483870967742</v>
      </c>
    </row>
    <row r="32" customFormat="false" ht="15.75" hidden="false" customHeight="true" outlineLevel="0" collapsed="false">
      <c r="B32" s="24" t="s">
        <v>71</v>
      </c>
      <c r="C32" s="24" t="n"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49" t="n">
        <f aca="false">COUNTA(E14:E16)</f>
        <v>2</v>
      </c>
      <c r="I32" s="24"/>
      <c r="J32" s="24" t="n">
        <f aca="false">COUNTA(E14:AI16)</f>
        <v>44</v>
      </c>
      <c r="K32" s="24" t="s">
        <v>71</v>
      </c>
      <c r="L32" s="49" t="n">
        <f aca="false">COUNTBLANK(I14:I16)</f>
        <v>2</v>
      </c>
      <c r="M32" s="24"/>
      <c r="N32" s="24" t="n">
        <f aca="false">COUNTBLANK(E14:AI16)</f>
        <v>49</v>
      </c>
      <c r="Q32" s="24" t="s">
        <v>71</v>
      </c>
      <c r="R32" s="24" t="n">
        <v>3</v>
      </c>
      <c r="S32" s="24" t="n">
        <v>93</v>
      </c>
      <c r="T32" s="24" t="n">
        <v>44</v>
      </c>
      <c r="U32" s="48" t="n">
        <f aca="false">T32/S32</f>
        <v>0.473118279569893</v>
      </c>
    </row>
    <row r="33" customFormat="false" ht="15.75" hidden="false" customHeight="true" outlineLevel="0" collapsed="false">
      <c r="B33" s="24" t="s">
        <v>2743</v>
      </c>
      <c r="C33" s="24" t="n">
        <v>7</v>
      </c>
      <c r="D33" s="44" t="n">
        <f aca="false">C33*7</f>
        <v>49</v>
      </c>
      <c r="E33" s="24" t="n">
        <f aca="false">C33*31</f>
        <v>217</v>
      </c>
      <c r="G33" s="24" t="s">
        <v>2743</v>
      </c>
      <c r="H33" s="49" t="n">
        <f aca="false">COUNTA(E17:E23)</f>
        <v>1</v>
      </c>
      <c r="I33" s="24"/>
      <c r="J33" s="24" t="n">
        <v>74</v>
      </c>
      <c r="K33" s="24" t="s">
        <v>2743</v>
      </c>
      <c r="L33" s="49" t="n">
        <f aca="false">COUNTBLANK(I17:I23)</f>
        <v>1</v>
      </c>
      <c r="M33" s="24"/>
      <c r="N33" s="24" t="n">
        <f aca="false">COUNTBLANK(E17:AI23)</f>
        <v>131</v>
      </c>
      <c r="Q33" s="24" t="s">
        <v>2743</v>
      </c>
      <c r="R33" s="24" t="n">
        <v>7</v>
      </c>
      <c r="S33" s="24" t="n">
        <v>217</v>
      </c>
      <c r="T33" s="24" t="n">
        <v>74</v>
      </c>
      <c r="U33" s="48" t="n">
        <f aca="false">T33/S33</f>
        <v>0.341013824884793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f aca="false">COUNTA(E24)</f>
        <v>1</v>
      </c>
      <c r="I34" s="24"/>
      <c r="J34" s="24"/>
      <c r="K34" s="24" t="s">
        <v>2744</v>
      </c>
      <c r="L34" s="24" t="n">
        <f aca="false">COUNTBLANK(I24)</f>
        <v>0</v>
      </c>
      <c r="M34" s="24"/>
      <c r="N34" s="24"/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3" t="s">
        <v>2746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COUNTIF($E$4:$AI$24,B39)</f>
        <v>11</v>
      </c>
      <c r="M39" s="75" t="s">
        <v>2737</v>
      </c>
      <c r="N39" s="54" t="s">
        <v>2749</v>
      </c>
      <c r="O39" s="54" t="s">
        <v>2750</v>
      </c>
      <c r="P39" s="54" t="s">
        <v>2751</v>
      </c>
      <c r="Q39" s="54" t="s">
        <v>2752</v>
      </c>
      <c r="R39" s="54" t="s">
        <v>2753</v>
      </c>
      <c r="S39" s="54" t="s">
        <v>2754</v>
      </c>
      <c r="T39" s="54" t="s">
        <v>2755</v>
      </c>
      <c r="U39" s="54" t="s">
        <v>36</v>
      </c>
      <c r="V39" s="54" t="s">
        <v>2756</v>
      </c>
      <c r="W39" s="54" t="s">
        <v>2757</v>
      </c>
      <c r="X39" s="54" t="s">
        <v>2758</v>
      </c>
      <c r="Y39" s="43" t="s">
        <v>2759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COUNTIF($E$4:$AI$24,B40)</f>
        <v>24</v>
      </c>
      <c r="M40" s="24" t="s">
        <v>65</v>
      </c>
      <c r="N40" s="43" t="n">
        <v>112</v>
      </c>
      <c r="O40" s="78" t="n">
        <f aca="false">COUNTIF($E$4:$AI$9,O44)</f>
        <v>7</v>
      </c>
      <c r="P40" s="78" t="n">
        <f aca="false">COUNTIF($E$4:$AI$9,P44)</f>
        <v>14</v>
      </c>
      <c r="Q40" s="78" t="n">
        <f aca="false">COUNTIF($E$4:$AI$9,Q44)</f>
        <v>3</v>
      </c>
      <c r="R40" s="78" t="n">
        <f aca="false">COUNTIF($E$4:$AI$9,R44)</f>
        <v>88</v>
      </c>
      <c r="S40" s="78" t="n">
        <f aca="false">COUNTIF($E$4:$AI$9,S44)</f>
        <v>0</v>
      </c>
      <c r="T40" s="78" t="n">
        <f aca="false">COUNTIF($E$4:$AI$9,T44)</f>
        <v>0</v>
      </c>
      <c r="U40" s="78" t="n">
        <f aca="false">COUNTIF($E$4:$AI$9,U44)</f>
        <v>0</v>
      </c>
      <c r="V40" s="78" t="n">
        <f aca="false">COUNTIF($E$4:$AI$9,V44)</f>
        <v>0</v>
      </c>
      <c r="W40" s="78" t="n">
        <f aca="false">COUNTIF($E$4:$AI$9,W44)</f>
        <v>0</v>
      </c>
      <c r="X40" s="78" t="n">
        <f aca="false">COUNTIF($E$4:$AI$9,X44)</f>
        <v>0</v>
      </c>
      <c r="Y40" s="78" t="n">
        <f aca="false">COUNTIF($E$4:$AI$9,Y44)</f>
        <v>0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COUNTIF($E$4:$AI$24,B41)</f>
        <v>15</v>
      </c>
      <c r="M41" s="24" t="s">
        <v>60</v>
      </c>
      <c r="N41" s="43" t="n">
        <v>54</v>
      </c>
      <c r="O41" s="78" t="n">
        <f aca="false">COUNTIF($E$10:$AI$13,O44)</f>
        <v>1</v>
      </c>
      <c r="P41" s="78" t="n">
        <f aca="false">COUNTIF($E$10:$AI$13,P44)</f>
        <v>2</v>
      </c>
      <c r="Q41" s="78" t="n">
        <f aca="false">COUNTIF($E$10:$AI$13,Q44)</f>
        <v>7</v>
      </c>
      <c r="R41" s="78" t="n">
        <f aca="false">COUNTIF($E$10:$AI$13,R44)</f>
        <v>44</v>
      </c>
      <c r="S41" s="78" t="n">
        <f aca="false">COUNTIF($E$10:$AI$13,S44)</f>
        <v>0</v>
      </c>
      <c r="T41" s="78" t="n">
        <f aca="false">COUNTIF($E$10:$AI$13,T44)</f>
        <v>0</v>
      </c>
      <c r="U41" s="78" t="n">
        <f aca="false">COUNTIF($E$10:$AI$13,U44)</f>
        <v>0</v>
      </c>
      <c r="V41" s="78" t="n">
        <f aca="false">COUNTIF($E$10:$AI$13,V44)</f>
        <v>0</v>
      </c>
      <c r="W41" s="78" t="n">
        <f aca="false">COUNTIF($E$10:$AI$13,W44)</f>
        <v>0</v>
      </c>
      <c r="X41" s="78" t="n">
        <f aca="false">COUNTIF($E$10:$AI$13,X44)</f>
        <v>0</v>
      </c>
      <c r="Y41" s="78" t="n">
        <f aca="false">COUNTIF($E$10:$AI$13,Y44)</f>
        <v>0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COUNTIF($E$4:$AI$24,B42)</f>
        <v>219</v>
      </c>
      <c r="M42" s="24" t="s">
        <v>71</v>
      </c>
      <c r="N42" s="43" t="n">
        <v>44</v>
      </c>
      <c r="O42" s="78" t="n">
        <f aca="false">COUNTIF($E$14:$AI$16,O44)</f>
        <v>0</v>
      </c>
      <c r="P42" s="78" t="n">
        <f aca="false">COUNTIF($E$14:$AI$16,P44)</f>
        <v>4</v>
      </c>
      <c r="Q42" s="78" t="n">
        <f aca="false">COUNTIF($E$14:$AI$16,Q44)</f>
        <v>0</v>
      </c>
      <c r="R42" s="78" t="n">
        <f aca="false">COUNTIF($E$14:$AI$16,R44)</f>
        <v>35</v>
      </c>
      <c r="S42" s="78" t="n">
        <f aca="false">COUNTIF($E$14:$AI$16,S44)</f>
        <v>0</v>
      </c>
      <c r="T42" s="78" t="n">
        <f aca="false">COUNTIF($E$14:$AI$16,T44)</f>
        <v>0</v>
      </c>
      <c r="U42" s="78" t="n">
        <f aca="false">COUNTIF($E$14:$AI$16,U44)</f>
        <v>0</v>
      </c>
      <c r="V42" s="78" t="n">
        <f aca="false">COUNTIF($E$14:$AI$16,V44)</f>
        <v>2</v>
      </c>
      <c r="W42" s="78" t="n">
        <f aca="false">COUNTIF($E$14:$AI$16,W44)</f>
        <v>0</v>
      </c>
      <c r="X42" s="78" t="n">
        <f aca="false">COUNTIF($E$14:$AI$16,X44)</f>
        <v>0</v>
      </c>
      <c r="Y42" s="78" t="n">
        <f aca="false">COUNTIF($E$14:$AI$16,Y44)</f>
        <v>3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COUNTIF($E$4:$AI$24,B43)</f>
        <v>0</v>
      </c>
      <c r="M43" s="24" t="s">
        <v>2743</v>
      </c>
      <c r="N43" s="43" t="n">
        <v>86</v>
      </c>
      <c r="O43" s="78" t="n">
        <f aca="false">COUNTIF($E$17:$AI$23,O44)</f>
        <v>3</v>
      </c>
      <c r="P43" s="78" t="n">
        <f aca="false">COUNTIF($E$17:$AI$23,P44)</f>
        <v>4</v>
      </c>
      <c r="Q43" s="78" t="n">
        <f aca="false">COUNTIF($E$17:$AI$23,Q44)</f>
        <v>5</v>
      </c>
      <c r="R43" s="78" t="n">
        <f aca="false">COUNTIF($E$17:$AI$23,R44)</f>
        <v>52</v>
      </c>
      <c r="S43" s="78" t="n">
        <f aca="false">COUNTIF($E$17:$AI$23,S44)</f>
        <v>0</v>
      </c>
      <c r="T43" s="78" t="n">
        <f aca="false">COUNTIF($E$17:$AI$23,T44)</f>
        <v>0</v>
      </c>
      <c r="U43" s="78" t="n">
        <f aca="false">COUNTIF($E$17:$AI$23,U44)</f>
        <v>0</v>
      </c>
      <c r="V43" s="78" t="n">
        <f aca="false">COUNTIF($E$17:$AI$23,V44)</f>
        <v>10</v>
      </c>
      <c r="W43" s="78" t="n">
        <f aca="false">COUNTIF($E$17:$AI$23,W44)</f>
        <v>0</v>
      </c>
      <c r="X43" s="78" t="n">
        <f aca="false">COUNTIF($E$17:$AI$23,X44)</f>
        <v>0</v>
      </c>
      <c r="Y43" s="78" t="n">
        <f aca="false">COUNTIF($E$17:$AI$23,Y44)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COUNTIF($E$4:$AI$24,B44)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COUNTIF($E$4:$AI$24,B45)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COUNTIF($E$4:$AI$24,B46)</f>
        <v>12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COUNTIF($E$4:$AI$24,B47)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COUNTIF($E$4:$AI$24,B48)</f>
        <v>0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3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8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5.51"/>
    <col collapsed="false" customWidth="true" hidden="false" outlineLevel="0" max="3" min="3" style="1" width="11.5"/>
    <col collapsed="false" customWidth="true" hidden="false" outlineLevel="0" max="4" min="4" style="1" width="13.5"/>
    <col collapsed="false" customWidth="true" hidden="false" outlineLevel="0" max="6" min="5" style="1" width="11.83"/>
    <col collapsed="false" customWidth="true" hidden="false" outlineLevel="0" max="7" min="7" style="1" width="13.83"/>
    <col collapsed="false" customWidth="true" hidden="false" outlineLevel="0" max="8" min="8" style="1" width="11.83"/>
    <col collapsed="false" customWidth="true" hidden="false" outlineLevel="0" max="10" min="9" style="1" width="12.5"/>
    <col collapsed="false" customWidth="true" hidden="false" outlineLevel="0" max="11" min="11" style="1" width="13.83"/>
    <col collapsed="false" customWidth="true" hidden="false" outlineLevel="0" max="12" min="12" style="1" width="12.5"/>
    <col collapsed="false" customWidth="true" hidden="false" outlineLevel="0" max="14" min="13" style="1" width="11.83"/>
    <col collapsed="false" customWidth="true" hidden="false" outlineLevel="0" max="15" min="15" style="1" width="12"/>
    <col collapsed="false" customWidth="true" hidden="false" outlineLevel="0" max="16" min="16" style="1" width="10.83"/>
    <col collapsed="false" customWidth="true" hidden="false" outlineLevel="0" max="20" min="17" style="1" width="10.66"/>
    <col collapsed="false" customWidth="true" hidden="false" outlineLevel="0" max="21" min="21" style="1" width="10.51"/>
    <col collapsed="false" customWidth="true" hidden="false" outlineLevel="0" max="25" min="22" style="1" width="11.5"/>
    <col collapsed="false" customWidth="true" hidden="false" outlineLevel="0" max="28" min="26" style="1" width="12.16"/>
    <col collapsed="false" customWidth="true" hidden="false" outlineLevel="0" max="34" min="29" style="1" width="11.83"/>
  </cols>
  <sheetData>
    <row r="1" customFormat="false" ht="15" hidden="false" customHeight="false" outlineLevel="0" collapsed="false">
      <c r="A1" s="15"/>
      <c r="B1" s="16" t="s">
        <v>2714</v>
      </c>
      <c r="E1" s="17" t="s">
        <v>2774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customFormat="false" ht="15" hidden="false" customHeight="false" outlineLevel="0" collapsed="false">
      <c r="A2" s="16"/>
      <c r="C2" s="18"/>
      <c r="D2" s="18"/>
      <c r="E2" s="15" t="s">
        <v>2721</v>
      </c>
      <c r="F2" s="15" t="s">
        <v>2722</v>
      </c>
      <c r="G2" s="15" t="s">
        <v>2716</v>
      </c>
      <c r="H2" s="15" t="s">
        <v>2717</v>
      </c>
      <c r="I2" s="15" t="s">
        <v>2718</v>
      </c>
      <c r="J2" s="16" t="s">
        <v>2719</v>
      </c>
      <c r="K2" s="16" t="s">
        <v>2720</v>
      </c>
      <c r="L2" s="15" t="s">
        <v>2721</v>
      </c>
      <c r="M2" s="15" t="s">
        <v>2722</v>
      </c>
      <c r="N2" s="15" t="s">
        <v>2716</v>
      </c>
      <c r="O2" s="15" t="s">
        <v>2717</v>
      </c>
      <c r="P2" s="15" t="s">
        <v>2718</v>
      </c>
      <c r="Q2" s="16" t="s">
        <v>2719</v>
      </c>
      <c r="R2" s="16" t="s">
        <v>2720</v>
      </c>
      <c r="S2" s="15" t="s">
        <v>2721</v>
      </c>
      <c r="T2" s="15" t="s">
        <v>2722</v>
      </c>
      <c r="U2" s="15" t="s">
        <v>2716</v>
      </c>
      <c r="V2" s="15" t="s">
        <v>2717</v>
      </c>
      <c r="W2" s="15" t="s">
        <v>2718</v>
      </c>
      <c r="X2" s="16" t="s">
        <v>2719</v>
      </c>
      <c r="Y2" s="16" t="s">
        <v>2720</v>
      </c>
      <c r="Z2" s="15" t="s">
        <v>2721</v>
      </c>
      <c r="AA2" s="15" t="s">
        <v>2722</v>
      </c>
      <c r="AB2" s="15" t="s">
        <v>2716</v>
      </c>
      <c r="AC2" s="15" t="s">
        <v>2717</v>
      </c>
      <c r="AD2" s="15" t="s">
        <v>2718</v>
      </c>
      <c r="AE2" s="16" t="s">
        <v>2719</v>
      </c>
      <c r="AF2" s="16" t="s">
        <v>2720</v>
      </c>
      <c r="AG2" s="15" t="s">
        <v>2721</v>
      </c>
      <c r="AH2" s="15" t="s">
        <v>2722</v>
      </c>
      <c r="AI2" s="15" t="s">
        <v>2716</v>
      </c>
    </row>
    <row r="3" customFormat="false" ht="15" hidden="false" customHeight="false" outlineLevel="0" collapsed="false">
      <c r="A3" s="16" t="s">
        <v>2723</v>
      </c>
      <c r="B3" s="15" t="s">
        <v>2724</v>
      </c>
      <c r="C3" s="15" t="s">
        <v>2725</v>
      </c>
      <c r="D3" s="15" t="s">
        <v>2726</v>
      </c>
      <c r="E3" s="19" t="n">
        <v>45474</v>
      </c>
      <c r="F3" s="122" t="n">
        <v>45475</v>
      </c>
      <c r="G3" s="19" t="n">
        <v>45476</v>
      </c>
      <c r="H3" s="122" t="n">
        <v>45477</v>
      </c>
      <c r="I3" s="19" t="n">
        <v>45478</v>
      </c>
      <c r="J3" s="122" t="n">
        <v>45479</v>
      </c>
      <c r="K3" s="19" t="n">
        <v>45480</v>
      </c>
      <c r="L3" s="122" t="n">
        <v>45481</v>
      </c>
      <c r="M3" s="19" t="n">
        <v>45482</v>
      </c>
      <c r="N3" s="122" t="n">
        <v>45483</v>
      </c>
      <c r="O3" s="19" t="n">
        <v>45484</v>
      </c>
      <c r="P3" s="122" t="n">
        <v>45485</v>
      </c>
      <c r="Q3" s="19" t="n">
        <v>45486</v>
      </c>
      <c r="R3" s="122" t="n">
        <v>45487</v>
      </c>
      <c r="S3" s="19" t="n">
        <v>45488</v>
      </c>
      <c r="T3" s="122" t="n">
        <v>45489</v>
      </c>
      <c r="U3" s="19" t="n">
        <v>45490</v>
      </c>
      <c r="V3" s="122" t="n">
        <v>45491</v>
      </c>
      <c r="W3" s="19" t="n">
        <v>45492</v>
      </c>
      <c r="X3" s="122" t="n">
        <v>45493</v>
      </c>
      <c r="Y3" s="19" t="n">
        <v>45494</v>
      </c>
      <c r="Z3" s="122" t="n">
        <v>45495</v>
      </c>
      <c r="AA3" s="19" t="n">
        <v>45496</v>
      </c>
      <c r="AB3" s="122" t="n">
        <v>45497</v>
      </c>
      <c r="AC3" s="19" t="n">
        <v>45498</v>
      </c>
      <c r="AD3" s="122" t="n">
        <v>45499</v>
      </c>
      <c r="AE3" s="19" t="n">
        <v>45500</v>
      </c>
      <c r="AF3" s="122" t="n">
        <v>45501</v>
      </c>
      <c r="AG3" s="19" t="n">
        <v>45502</v>
      </c>
      <c r="AH3" s="122" t="n">
        <v>45503</v>
      </c>
      <c r="AI3" s="19" t="n">
        <v>45504</v>
      </c>
    </row>
    <row r="4" customFormat="false" ht="15" hidden="false" customHeight="false" outlineLevel="0" collapsed="false">
      <c r="A4" s="20" t="n">
        <v>1</v>
      </c>
      <c r="B4" s="21" t="s">
        <v>65</v>
      </c>
      <c r="C4" s="22" t="n">
        <v>101</v>
      </c>
      <c r="D4" s="23" t="n">
        <v>2</v>
      </c>
      <c r="E4" s="24"/>
      <c r="F4" s="24" t="s">
        <v>43</v>
      </c>
      <c r="G4" s="24"/>
      <c r="H4" s="24"/>
      <c r="I4" s="24" t="s">
        <v>43</v>
      </c>
      <c r="J4" s="24" t="s">
        <v>43</v>
      </c>
      <c r="K4" s="24" t="s">
        <v>43</v>
      </c>
      <c r="L4" s="105" t="s">
        <v>43</v>
      </c>
      <c r="M4" s="105" t="s">
        <v>43</v>
      </c>
      <c r="N4" s="24" t="s">
        <v>43</v>
      </c>
      <c r="O4" s="24" t="s">
        <v>43</v>
      </c>
      <c r="P4" s="24"/>
      <c r="Q4" s="24"/>
      <c r="R4" s="24" t="s">
        <v>43</v>
      </c>
      <c r="S4" s="24"/>
      <c r="T4" s="24" t="s">
        <v>43</v>
      </c>
      <c r="U4" s="24" t="s">
        <v>43</v>
      </c>
      <c r="V4" s="24" t="s">
        <v>2761</v>
      </c>
      <c r="W4" s="24"/>
      <c r="X4" s="24" t="s">
        <v>43</v>
      </c>
      <c r="Y4" s="38" t="s">
        <v>54</v>
      </c>
      <c r="Z4" s="38" t="s">
        <v>54</v>
      </c>
      <c r="AA4" s="24"/>
      <c r="AB4" s="106" t="s">
        <v>43</v>
      </c>
      <c r="AC4" s="106" t="s">
        <v>43</v>
      </c>
      <c r="AD4" s="24"/>
      <c r="AE4" s="24" t="s">
        <v>43</v>
      </c>
      <c r="AF4" s="38" t="s">
        <v>2760</v>
      </c>
      <c r="AG4" s="24" t="s">
        <v>43</v>
      </c>
      <c r="AH4" s="24"/>
      <c r="AI4" s="24"/>
    </row>
    <row r="5" customFormat="false" ht="15" hidden="false" customHeight="false" outlineLevel="0" collapsed="false">
      <c r="A5" s="20" t="n">
        <v>2</v>
      </c>
      <c r="B5" s="21" t="s">
        <v>65</v>
      </c>
      <c r="C5" s="22" t="n">
        <v>201</v>
      </c>
      <c r="D5" s="23" t="n">
        <v>2</v>
      </c>
      <c r="E5" s="24" t="s">
        <v>2761</v>
      </c>
      <c r="F5" s="24" t="s">
        <v>2761</v>
      </c>
      <c r="G5" s="102" t="s">
        <v>43</v>
      </c>
      <c r="H5" s="102" t="s">
        <v>43</v>
      </c>
      <c r="I5" s="102" t="s">
        <v>43</v>
      </c>
      <c r="J5" s="24" t="s">
        <v>2761</v>
      </c>
      <c r="K5" s="24" t="s">
        <v>43</v>
      </c>
      <c r="L5" s="24"/>
      <c r="M5" s="24"/>
      <c r="N5" s="24" t="s">
        <v>43</v>
      </c>
      <c r="O5" s="103" t="s">
        <v>2760</v>
      </c>
      <c r="P5" s="24"/>
      <c r="Q5" s="24" t="s">
        <v>43</v>
      </c>
      <c r="R5" s="24" t="s">
        <v>43</v>
      </c>
      <c r="S5" s="24" t="s">
        <v>43</v>
      </c>
      <c r="T5" s="24" t="s">
        <v>43</v>
      </c>
      <c r="U5" s="24" t="s">
        <v>43</v>
      </c>
      <c r="V5" s="25" t="s">
        <v>43</v>
      </c>
      <c r="W5" s="25" t="s">
        <v>43</v>
      </c>
      <c r="X5" s="25" t="s">
        <v>43</v>
      </c>
      <c r="Y5" s="25" t="s">
        <v>43</v>
      </c>
      <c r="Z5" s="36" t="s">
        <v>2762</v>
      </c>
      <c r="AA5" s="36" t="s">
        <v>2762</v>
      </c>
      <c r="AB5" s="106" t="s">
        <v>43</v>
      </c>
      <c r="AC5" s="106" t="s">
        <v>43</v>
      </c>
      <c r="AD5" s="24" t="s">
        <v>43</v>
      </c>
      <c r="AE5" s="24" t="s">
        <v>43</v>
      </c>
      <c r="AF5" s="24" t="s">
        <v>43</v>
      </c>
      <c r="AG5" s="24" t="s">
        <v>43</v>
      </c>
      <c r="AH5" s="24" t="s">
        <v>43</v>
      </c>
      <c r="AI5" s="24" t="s">
        <v>43</v>
      </c>
    </row>
    <row r="6" customFormat="false" ht="15" hidden="false" customHeight="false" outlineLevel="0" collapsed="false">
      <c r="A6" s="20" t="n">
        <v>3</v>
      </c>
      <c r="B6" s="21" t="s">
        <v>65</v>
      </c>
      <c r="C6" s="22" t="n">
        <v>301</v>
      </c>
      <c r="D6" s="23" t="n">
        <v>2</v>
      </c>
      <c r="E6" s="24" t="s">
        <v>43</v>
      </c>
      <c r="F6" s="24" t="s">
        <v>43</v>
      </c>
      <c r="G6" s="24" t="s">
        <v>43</v>
      </c>
      <c r="H6" s="24" t="s">
        <v>43</v>
      </c>
      <c r="I6" s="24" t="s">
        <v>43</v>
      </c>
      <c r="J6" s="24"/>
      <c r="K6" s="24" t="s">
        <v>43</v>
      </c>
      <c r="L6" s="24" t="s">
        <v>43</v>
      </c>
      <c r="M6" s="24" t="s">
        <v>43</v>
      </c>
      <c r="N6" s="24"/>
      <c r="O6" s="103" t="s">
        <v>2760</v>
      </c>
      <c r="P6" s="24"/>
      <c r="Q6" s="24" t="s">
        <v>43</v>
      </c>
      <c r="R6" s="24"/>
      <c r="S6" s="24" t="s">
        <v>43</v>
      </c>
      <c r="T6" s="24"/>
      <c r="U6" s="24" t="s">
        <v>43</v>
      </c>
      <c r="V6" s="24" t="s">
        <v>43</v>
      </c>
      <c r="W6" s="24" t="s">
        <v>43</v>
      </c>
      <c r="X6" s="24" t="s">
        <v>43</v>
      </c>
      <c r="Y6" s="24" t="s">
        <v>43</v>
      </c>
      <c r="Z6" s="36" t="s">
        <v>2762</v>
      </c>
      <c r="AA6" s="36" t="s">
        <v>2762</v>
      </c>
      <c r="AB6" s="106" t="s">
        <v>43</v>
      </c>
      <c r="AC6" s="106" t="s">
        <v>43</v>
      </c>
      <c r="AD6" s="24" t="s">
        <v>2761</v>
      </c>
      <c r="AE6" s="24" t="s">
        <v>2761</v>
      </c>
      <c r="AF6" s="24" t="s">
        <v>2761</v>
      </c>
      <c r="AG6" s="24" t="s">
        <v>2761</v>
      </c>
      <c r="AH6" s="24" t="s">
        <v>2761</v>
      </c>
      <c r="AI6" s="24" t="s">
        <v>2761</v>
      </c>
    </row>
    <row r="7" customFormat="false" ht="15" hidden="false" customHeight="false" outlineLevel="0" collapsed="false">
      <c r="A7" s="20" t="n">
        <v>4</v>
      </c>
      <c r="B7" s="21" t="s">
        <v>65</v>
      </c>
      <c r="C7" s="22" t="n">
        <v>401</v>
      </c>
      <c r="D7" s="23" t="n">
        <v>2</v>
      </c>
      <c r="E7" s="24" t="s">
        <v>43</v>
      </c>
      <c r="F7" s="24" t="s">
        <v>43</v>
      </c>
      <c r="G7" s="24" t="s">
        <v>43</v>
      </c>
      <c r="H7" s="24" t="s">
        <v>43</v>
      </c>
      <c r="I7" s="24" t="s">
        <v>43</v>
      </c>
      <c r="J7" s="24" t="s">
        <v>43</v>
      </c>
      <c r="K7" s="24" t="s">
        <v>43</v>
      </c>
      <c r="L7" s="24" t="s">
        <v>43</v>
      </c>
      <c r="M7" s="24" t="s">
        <v>43</v>
      </c>
      <c r="N7" s="24" t="s">
        <v>43</v>
      </c>
      <c r="O7" s="24" t="s">
        <v>43</v>
      </c>
      <c r="P7" s="24" t="s">
        <v>43</v>
      </c>
      <c r="Q7" s="24" t="s">
        <v>43</v>
      </c>
      <c r="R7" s="24" t="s">
        <v>43</v>
      </c>
      <c r="S7" s="24" t="s">
        <v>43</v>
      </c>
      <c r="T7" s="24" t="s">
        <v>43</v>
      </c>
      <c r="U7" s="24" t="s">
        <v>43</v>
      </c>
      <c r="V7" s="24" t="s">
        <v>43</v>
      </c>
      <c r="W7" s="24" t="s">
        <v>43</v>
      </c>
      <c r="X7" s="24" t="s">
        <v>43</v>
      </c>
      <c r="Y7" s="24" t="s">
        <v>43</v>
      </c>
      <c r="Z7" s="24" t="s">
        <v>43</v>
      </c>
      <c r="AA7" s="24" t="s">
        <v>43</v>
      </c>
      <c r="AB7" s="24" t="s">
        <v>43</v>
      </c>
      <c r="AC7" s="24" t="s">
        <v>43</v>
      </c>
      <c r="AD7" s="24" t="s">
        <v>43</v>
      </c>
      <c r="AE7" s="24" t="s">
        <v>43</v>
      </c>
      <c r="AF7" s="24" t="s">
        <v>43</v>
      </c>
      <c r="AG7" s="24" t="s">
        <v>43</v>
      </c>
      <c r="AH7" s="24" t="s">
        <v>43</v>
      </c>
      <c r="AI7" s="24" t="s">
        <v>43</v>
      </c>
    </row>
    <row r="8" customFormat="false" ht="15" hidden="false" customHeight="false" outlineLevel="0" collapsed="false">
      <c r="A8" s="20" t="n">
        <v>5</v>
      </c>
      <c r="B8" s="21" t="s">
        <v>65</v>
      </c>
      <c r="C8" s="22" t="n">
        <v>501</v>
      </c>
      <c r="D8" s="23" t="n">
        <v>2</v>
      </c>
      <c r="E8" s="24" t="s">
        <v>43</v>
      </c>
      <c r="F8" s="24" t="s">
        <v>43</v>
      </c>
      <c r="G8" s="24" t="s">
        <v>43</v>
      </c>
      <c r="H8" s="24" t="s">
        <v>43</v>
      </c>
      <c r="I8" s="24" t="s">
        <v>43</v>
      </c>
      <c r="J8" s="24" t="s">
        <v>43</v>
      </c>
      <c r="K8" s="24"/>
      <c r="L8" s="24" t="s">
        <v>2761</v>
      </c>
      <c r="M8" s="24" t="s">
        <v>2761</v>
      </c>
      <c r="N8" s="24" t="s">
        <v>2761</v>
      </c>
      <c r="O8" s="24" t="s">
        <v>43</v>
      </c>
      <c r="P8" s="24"/>
      <c r="Q8" s="24" t="s">
        <v>2761</v>
      </c>
      <c r="R8" s="24" t="s">
        <v>43</v>
      </c>
      <c r="S8" s="24" t="s">
        <v>2727</v>
      </c>
      <c r="T8" s="24" t="s">
        <v>2727</v>
      </c>
      <c r="U8" s="24" t="s">
        <v>2761</v>
      </c>
      <c r="V8" s="24" t="s">
        <v>2761</v>
      </c>
      <c r="W8" s="24" t="s">
        <v>2761</v>
      </c>
      <c r="X8" s="24" t="s">
        <v>2761</v>
      </c>
      <c r="Y8" s="24" t="s">
        <v>2761</v>
      </c>
      <c r="Z8" s="24"/>
      <c r="AA8" s="24" t="s">
        <v>2761</v>
      </c>
      <c r="AB8" s="24" t="s">
        <v>2761</v>
      </c>
      <c r="AC8" s="24" t="s">
        <v>2761</v>
      </c>
      <c r="AD8" s="24" t="s">
        <v>2761</v>
      </c>
      <c r="AE8" s="24" t="s">
        <v>2761</v>
      </c>
      <c r="AF8" s="24" t="s">
        <v>2761</v>
      </c>
      <c r="AG8" s="24" t="s">
        <v>2761</v>
      </c>
      <c r="AH8" s="24" t="s">
        <v>2761</v>
      </c>
      <c r="AI8" s="24" t="s">
        <v>2761</v>
      </c>
    </row>
    <row r="9" customFormat="false" ht="15" hidden="false" customHeight="false" outlineLevel="0" collapsed="false">
      <c r="A9" s="20" t="n">
        <v>6</v>
      </c>
      <c r="B9" s="21" t="s">
        <v>65</v>
      </c>
      <c r="C9" s="22" t="n">
        <v>601</v>
      </c>
      <c r="D9" s="23" t="n">
        <v>2</v>
      </c>
      <c r="E9" s="24" t="s">
        <v>2761</v>
      </c>
      <c r="F9" s="24" t="s">
        <v>2761</v>
      </c>
      <c r="G9" s="24" t="s">
        <v>2761</v>
      </c>
      <c r="H9" s="24" t="s">
        <v>2761</v>
      </c>
      <c r="I9" s="24" t="s">
        <v>2761</v>
      </c>
      <c r="J9" s="24" t="s">
        <v>2761</v>
      </c>
      <c r="K9" s="24" t="s">
        <v>2761</v>
      </c>
      <c r="L9" s="24" t="s">
        <v>2761</v>
      </c>
      <c r="M9" s="24" t="s">
        <v>2761</v>
      </c>
      <c r="N9" s="24" t="s">
        <v>2761</v>
      </c>
      <c r="O9" s="24" t="s">
        <v>2761</v>
      </c>
      <c r="P9" s="96" t="s">
        <v>43</v>
      </c>
      <c r="Q9" s="24" t="s">
        <v>43</v>
      </c>
      <c r="R9" s="24" t="s">
        <v>43</v>
      </c>
      <c r="S9" s="24" t="s">
        <v>2761</v>
      </c>
      <c r="T9" s="24" t="s">
        <v>43</v>
      </c>
      <c r="U9" s="24" t="s">
        <v>43</v>
      </c>
      <c r="V9" s="24" t="s">
        <v>43</v>
      </c>
      <c r="W9" s="24" t="s">
        <v>43</v>
      </c>
      <c r="X9" s="24" t="s">
        <v>43</v>
      </c>
      <c r="Y9" s="24" t="s">
        <v>43</v>
      </c>
      <c r="Z9" s="24"/>
      <c r="AA9" s="24"/>
      <c r="AB9" s="24"/>
      <c r="AC9" s="24" t="s">
        <v>43</v>
      </c>
      <c r="AD9" s="24" t="s">
        <v>43</v>
      </c>
      <c r="AE9" s="24" t="s">
        <v>43</v>
      </c>
      <c r="AF9" s="24" t="s">
        <v>43</v>
      </c>
      <c r="AG9" s="24" t="s">
        <v>43</v>
      </c>
      <c r="AH9" s="24" t="s">
        <v>2761</v>
      </c>
      <c r="AI9" s="24" t="s">
        <v>2761</v>
      </c>
    </row>
    <row r="10" customFormat="false" ht="15" hidden="false" customHeight="false" outlineLevel="0" collapsed="false">
      <c r="A10" s="26" t="n">
        <v>7</v>
      </c>
      <c r="B10" s="27" t="s">
        <v>60</v>
      </c>
      <c r="C10" s="28" t="n">
        <v>102</v>
      </c>
      <c r="D10" s="23" t="n">
        <v>2</v>
      </c>
      <c r="E10" s="100" t="s">
        <v>2762</v>
      </c>
      <c r="F10" s="100" t="s">
        <v>2762</v>
      </c>
      <c r="G10" s="24"/>
      <c r="H10" s="24" t="s">
        <v>43</v>
      </c>
      <c r="I10" s="24" t="s">
        <v>43</v>
      </c>
      <c r="J10" s="24" t="s">
        <v>43</v>
      </c>
      <c r="K10" s="24"/>
      <c r="L10" s="105" t="s">
        <v>43</v>
      </c>
      <c r="M10" s="105" t="s">
        <v>43</v>
      </c>
      <c r="N10" s="24"/>
      <c r="O10" s="103" t="s">
        <v>2760</v>
      </c>
      <c r="P10" s="24"/>
      <c r="Q10" s="24" t="s">
        <v>43</v>
      </c>
      <c r="R10" s="24" t="s">
        <v>43</v>
      </c>
      <c r="S10" s="24"/>
      <c r="T10" s="24" t="s">
        <v>43</v>
      </c>
      <c r="U10" s="24"/>
      <c r="V10" s="24"/>
      <c r="W10" s="24" t="s">
        <v>43</v>
      </c>
      <c r="X10" s="24" t="s">
        <v>43</v>
      </c>
      <c r="Y10" s="24" t="s">
        <v>43</v>
      </c>
      <c r="Z10" s="24" t="s">
        <v>43</v>
      </c>
      <c r="AA10" s="24"/>
      <c r="AB10" s="24" t="s">
        <v>43</v>
      </c>
      <c r="AC10" s="24" t="s">
        <v>43</v>
      </c>
      <c r="AD10" s="24" t="s">
        <v>43</v>
      </c>
      <c r="AE10" s="24" t="s">
        <v>43</v>
      </c>
      <c r="AF10" s="24" t="s">
        <v>43</v>
      </c>
      <c r="AG10" s="24" t="s">
        <v>43</v>
      </c>
      <c r="AH10" s="24"/>
      <c r="AI10" s="24" t="s">
        <v>43</v>
      </c>
    </row>
    <row r="11" customFormat="false" ht="15" hidden="false" customHeight="false" outlineLevel="0" collapsed="false">
      <c r="A11" s="26" t="n">
        <v>8</v>
      </c>
      <c r="B11" s="27" t="s">
        <v>60</v>
      </c>
      <c r="C11" s="28" t="n">
        <v>202</v>
      </c>
      <c r="D11" s="23" t="n">
        <v>2</v>
      </c>
      <c r="E11" s="24" t="s">
        <v>43</v>
      </c>
      <c r="F11" s="24" t="s">
        <v>43</v>
      </c>
      <c r="G11" s="102" t="s">
        <v>43</v>
      </c>
      <c r="H11" s="102" t="s">
        <v>43</v>
      </c>
      <c r="I11" s="102" t="s">
        <v>43</v>
      </c>
      <c r="J11" s="24" t="s">
        <v>43</v>
      </c>
      <c r="K11" s="24" t="s">
        <v>43</v>
      </c>
      <c r="L11" s="24" t="s">
        <v>43</v>
      </c>
      <c r="M11" s="24"/>
      <c r="N11" s="24"/>
      <c r="O11" s="123" t="s">
        <v>43</v>
      </c>
      <c r="P11" s="24" t="s">
        <v>43</v>
      </c>
      <c r="Q11" s="24" t="s">
        <v>43</v>
      </c>
      <c r="R11" s="24"/>
      <c r="S11" s="24"/>
      <c r="T11" s="24"/>
      <c r="U11" s="24"/>
      <c r="V11" s="25" t="s">
        <v>43</v>
      </c>
      <c r="W11" s="25" t="s">
        <v>43</v>
      </c>
      <c r="X11" s="25" t="s">
        <v>43</v>
      </c>
      <c r="Y11" s="25" t="s">
        <v>43</v>
      </c>
      <c r="Z11" s="36" t="s">
        <v>2762</v>
      </c>
      <c r="AA11" s="24" t="s">
        <v>43</v>
      </c>
      <c r="AB11" s="106" t="s">
        <v>43</v>
      </c>
      <c r="AC11" s="106" t="s">
        <v>43</v>
      </c>
      <c r="AD11" s="24" t="s">
        <v>43</v>
      </c>
      <c r="AE11" s="24" t="s">
        <v>2764</v>
      </c>
      <c r="AF11" s="24" t="s">
        <v>2764</v>
      </c>
      <c r="AG11" s="24" t="s">
        <v>2764</v>
      </c>
      <c r="AH11" s="24"/>
      <c r="AI11" s="24" t="s">
        <v>43</v>
      </c>
    </row>
    <row r="12" customFormat="false" ht="15" hidden="false" customHeight="false" outlineLevel="0" collapsed="false">
      <c r="A12" s="26" t="n">
        <v>9</v>
      </c>
      <c r="B12" s="27" t="s">
        <v>60</v>
      </c>
      <c r="C12" s="28" t="n">
        <v>302</v>
      </c>
      <c r="D12" s="23" t="n">
        <v>2</v>
      </c>
      <c r="E12" s="24" t="s">
        <v>43</v>
      </c>
      <c r="F12" s="24" t="s">
        <v>43</v>
      </c>
      <c r="G12" s="24" t="s">
        <v>43</v>
      </c>
      <c r="H12" s="24" t="s">
        <v>43</v>
      </c>
      <c r="I12" s="24" t="s">
        <v>43</v>
      </c>
      <c r="J12" s="24" t="s">
        <v>43</v>
      </c>
      <c r="K12" s="24" t="s">
        <v>43</v>
      </c>
      <c r="L12" s="24"/>
      <c r="M12" s="24" t="s">
        <v>43</v>
      </c>
      <c r="N12" s="24"/>
      <c r="O12" s="24" t="s">
        <v>2761</v>
      </c>
      <c r="P12" s="24" t="s">
        <v>2761</v>
      </c>
      <c r="Q12" s="24" t="s">
        <v>2761</v>
      </c>
      <c r="R12" s="24" t="s">
        <v>2761</v>
      </c>
      <c r="S12" s="24"/>
      <c r="T12" s="24"/>
      <c r="U12" s="24" t="s">
        <v>2761</v>
      </c>
      <c r="V12" s="24"/>
      <c r="W12" s="24" t="s">
        <v>43</v>
      </c>
      <c r="X12" s="38" t="s">
        <v>2760</v>
      </c>
      <c r="Y12" s="24"/>
      <c r="Z12" s="36" t="s">
        <v>2762</v>
      </c>
      <c r="AA12" s="36" t="s">
        <v>2762</v>
      </c>
      <c r="AB12" s="106" t="s">
        <v>43</v>
      </c>
      <c r="AC12" s="106" t="s">
        <v>43</v>
      </c>
      <c r="AD12" s="38" t="s">
        <v>2760</v>
      </c>
      <c r="AE12" s="24" t="s">
        <v>43</v>
      </c>
      <c r="AF12" s="24" t="s">
        <v>43</v>
      </c>
      <c r="AG12" s="24"/>
      <c r="AH12" s="24"/>
      <c r="AI12" s="24" t="s">
        <v>43</v>
      </c>
    </row>
    <row r="13" customFormat="false" ht="15" hidden="false" customHeight="false" outlineLevel="0" collapsed="false">
      <c r="A13" s="26" t="n">
        <v>10</v>
      </c>
      <c r="B13" s="27" t="s">
        <v>60</v>
      </c>
      <c r="C13" s="28" t="n">
        <v>402</v>
      </c>
      <c r="D13" s="23" t="n">
        <v>2</v>
      </c>
      <c r="E13" s="100" t="s">
        <v>2762</v>
      </c>
      <c r="F13" s="100" t="s">
        <v>2762</v>
      </c>
      <c r="G13" s="24"/>
      <c r="H13" s="24" t="s">
        <v>43</v>
      </c>
      <c r="I13" s="24"/>
      <c r="J13" s="24"/>
      <c r="K13" s="24"/>
      <c r="L13" s="124" t="s">
        <v>43</v>
      </c>
      <c r="M13" s="124" t="s">
        <v>43</v>
      </c>
      <c r="N13" s="124" t="s">
        <v>43</v>
      </c>
      <c r="O13" s="103" t="s">
        <v>2760</v>
      </c>
      <c r="P13" s="24"/>
      <c r="Q13" s="125" t="s">
        <v>2760</v>
      </c>
      <c r="R13" s="24"/>
      <c r="S13" s="24"/>
      <c r="T13" s="24"/>
      <c r="U13" s="24"/>
      <c r="V13" s="24" t="s">
        <v>43</v>
      </c>
      <c r="W13" s="24" t="s">
        <v>43</v>
      </c>
      <c r="X13" s="24" t="s">
        <v>43</v>
      </c>
      <c r="Y13" s="24" t="s">
        <v>43</v>
      </c>
      <c r="Z13" s="36" t="s">
        <v>2762</v>
      </c>
      <c r="AA13" s="36" t="s">
        <v>2762</v>
      </c>
      <c r="AB13" s="106" t="s">
        <v>43</v>
      </c>
      <c r="AC13" s="24"/>
      <c r="AD13" s="108" t="s">
        <v>43</v>
      </c>
      <c r="AE13" s="108" t="s">
        <v>43</v>
      </c>
      <c r="AF13" s="108" t="s">
        <v>43</v>
      </c>
      <c r="AG13" s="38" t="s">
        <v>2760</v>
      </c>
      <c r="AH13" s="24"/>
      <c r="AI13" s="24" t="s">
        <v>43</v>
      </c>
    </row>
    <row r="14" customFormat="false" ht="15" hidden="false" customHeight="false" outlineLevel="0" collapsed="false">
      <c r="A14" s="30" t="n">
        <v>11</v>
      </c>
      <c r="B14" s="31" t="s">
        <v>71</v>
      </c>
      <c r="C14" s="32" t="n">
        <v>502</v>
      </c>
      <c r="D14" s="23" t="n">
        <v>2</v>
      </c>
      <c r="E14" s="100" t="s">
        <v>2762</v>
      </c>
      <c r="F14" s="100" t="s">
        <v>2762</v>
      </c>
      <c r="G14" s="24"/>
      <c r="H14" s="24" t="s">
        <v>43</v>
      </c>
      <c r="I14" s="24" t="s">
        <v>43</v>
      </c>
      <c r="J14" s="24" t="s">
        <v>43</v>
      </c>
      <c r="K14" s="24"/>
      <c r="L14" s="24" t="s">
        <v>43</v>
      </c>
      <c r="M14" s="24" t="s">
        <v>2727</v>
      </c>
      <c r="N14" s="24" t="s">
        <v>2727</v>
      </c>
      <c r="O14" s="24" t="s">
        <v>2727</v>
      </c>
      <c r="P14" s="24" t="s">
        <v>2727</v>
      </c>
      <c r="Q14" s="24" t="s">
        <v>2727</v>
      </c>
      <c r="R14" s="24" t="s">
        <v>2761</v>
      </c>
      <c r="S14" s="24" t="s">
        <v>2761</v>
      </c>
      <c r="T14" s="24" t="s">
        <v>2761</v>
      </c>
      <c r="U14" s="24" t="s">
        <v>2727</v>
      </c>
      <c r="V14" s="24" t="s">
        <v>2860</v>
      </c>
      <c r="W14" s="24" t="s">
        <v>43</v>
      </c>
      <c r="X14" s="24" t="s">
        <v>43</v>
      </c>
      <c r="Y14" s="24" t="s">
        <v>43</v>
      </c>
      <c r="Z14" s="24"/>
      <c r="AA14" s="24"/>
      <c r="AB14" s="106" t="s">
        <v>43</v>
      </c>
      <c r="AC14" s="106" t="s">
        <v>43</v>
      </c>
      <c r="AD14" s="24" t="s">
        <v>43</v>
      </c>
      <c r="AE14" s="24" t="s">
        <v>43</v>
      </c>
      <c r="AF14" s="24" t="s">
        <v>43</v>
      </c>
      <c r="AG14" s="24" t="s">
        <v>43</v>
      </c>
      <c r="AH14" s="24"/>
      <c r="AI14" s="24" t="s">
        <v>43</v>
      </c>
    </row>
    <row r="15" customFormat="false" ht="15" hidden="false" customHeight="false" outlineLevel="0" collapsed="false">
      <c r="A15" s="30" t="n">
        <v>12</v>
      </c>
      <c r="B15" s="31" t="s">
        <v>71</v>
      </c>
      <c r="C15" s="32" t="n">
        <v>602</v>
      </c>
      <c r="D15" s="23" t="n">
        <v>2</v>
      </c>
      <c r="E15" s="24" t="s">
        <v>43</v>
      </c>
      <c r="F15" s="24" t="s">
        <v>2762</v>
      </c>
      <c r="G15" s="24"/>
      <c r="H15" s="24"/>
      <c r="I15" s="24" t="s">
        <v>43</v>
      </c>
      <c r="J15" s="24" t="s">
        <v>43</v>
      </c>
      <c r="K15" s="24"/>
      <c r="L15" s="24"/>
      <c r="M15" s="24"/>
      <c r="N15" s="24" t="s">
        <v>43</v>
      </c>
      <c r="O15" s="103" t="s">
        <v>2760</v>
      </c>
      <c r="P15" s="96" t="s">
        <v>43</v>
      </c>
      <c r="Q15" s="125" t="s">
        <v>2760</v>
      </c>
      <c r="R15" s="24"/>
      <c r="S15" s="24" t="s">
        <v>43</v>
      </c>
      <c r="T15" s="24" t="s">
        <v>43</v>
      </c>
      <c r="U15" s="24"/>
      <c r="V15" s="24" t="s">
        <v>43</v>
      </c>
      <c r="W15" s="24" t="s">
        <v>43</v>
      </c>
      <c r="X15" s="24" t="s">
        <v>43</v>
      </c>
      <c r="Y15" s="24" t="s">
        <v>43</v>
      </c>
      <c r="Z15" s="24" t="s">
        <v>43</v>
      </c>
      <c r="AA15" s="24" t="s">
        <v>43</v>
      </c>
      <c r="AB15" s="30" t="s">
        <v>43</v>
      </c>
      <c r="AC15" s="30" t="s">
        <v>43</v>
      </c>
      <c r="AD15" s="24"/>
      <c r="AE15" s="24" t="s">
        <v>43</v>
      </c>
      <c r="AF15" s="24" t="s">
        <v>43</v>
      </c>
      <c r="AG15" s="24" t="s">
        <v>43</v>
      </c>
      <c r="AH15" s="24"/>
      <c r="AI15" s="24"/>
    </row>
    <row r="16" customFormat="false" ht="15" hidden="false" customHeight="false" outlineLevel="0" collapsed="false">
      <c r="A16" s="30" t="n">
        <v>13</v>
      </c>
      <c r="B16" s="31" t="s">
        <v>71</v>
      </c>
      <c r="C16" s="32" t="n">
        <v>702</v>
      </c>
      <c r="D16" s="23" t="n">
        <v>2</v>
      </c>
      <c r="E16" s="24"/>
      <c r="F16" s="24"/>
      <c r="G16" s="24"/>
      <c r="H16" s="24"/>
      <c r="I16" s="24"/>
      <c r="J16" s="24" t="s">
        <v>2727</v>
      </c>
      <c r="K16" s="24" t="s">
        <v>2760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 t="s">
        <v>43</v>
      </c>
      <c r="Z16" s="24"/>
      <c r="AA16" s="24"/>
      <c r="AB16" s="24" t="s">
        <v>43</v>
      </c>
      <c r="AC16" s="24" t="s">
        <v>43</v>
      </c>
      <c r="AD16" s="24"/>
      <c r="AE16" s="111" t="s">
        <v>43</v>
      </c>
      <c r="AF16" s="24" t="s">
        <v>43</v>
      </c>
      <c r="AG16" s="24"/>
      <c r="AH16" s="24"/>
      <c r="AI16" s="24"/>
    </row>
    <row r="17" customFormat="false" ht="15" hidden="false" customHeight="false" outlineLevel="0" collapsed="false">
      <c r="A17" s="33" t="n">
        <v>14</v>
      </c>
      <c r="B17" s="34" t="s">
        <v>31</v>
      </c>
      <c r="C17" s="35" t="n">
        <v>103</v>
      </c>
      <c r="D17" s="23" t="n">
        <v>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 t="s">
        <v>43</v>
      </c>
      <c r="S17" s="24" t="s">
        <v>43</v>
      </c>
      <c r="T17" s="24" t="s">
        <v>43</v>
      </c>
      <c r="U17" s="24" t="s">
        <v>43</v>
      </c>
      <c r="V17" s="24" t="s">
        <v>43</v>
      </c>
      <c r="W17" s="24"/>
      <c r="X17" s="24"/>
      <c r="Y17" s="24" t="s">
        <v>43</v>
      </c>
      <c r="Z17" s="36" t="s">
        <v>2762</v>
      </c>
      <c r="AA17" s="36" t="s">
        <v>2762</v>
      </c>
      <c r="AB17" s="106" t="s">
        <v>43</v>
      </c>
      <c r="AC17" s="106" t="s">
        <v>43</v>
      </c>
      <c r="AD17" s="24"/>
      <c r="AE17" s="24"/>
      <c r="AF17" s="24"/>
      <c r="AG17" s="24"/>
      <c r="AH17" s="24"/>
      <c r="AI17" s="24"/>
    </row>
    <row r="18" customFormat="false" ht="15" hidden="false" customHeight="false" outlineLevel="0" collapsed="false">
      <c r="A18" s="33" t="n">
        <v>15</v>
      </c>
      <c r="B18" s="34" t="s">
        <v>31</v>
      </c>
      <c r="C18" s="35" t="n">
        <v>203</v>
      </c>
      <c r="D18" s="23" t="n">
        <v>2</v>
      </c>
      <c r="E18" s="24" t="s">
        <v>2727</v>
      </c>
      <c r="F18" s="24"/>
      <c r="G18" s="24"/>
      <c r="H18" s="24"/>
      <c r="I18" s="24" t="s">
        <v>43</v>
      </c>
      <c r="J18" s="24" t="s">
        <v>43</v>
      </c>
      <c r="K18" s="24" t="s">
        <v>43</v>
      </c>
      <c r="L18" s="24" t="s">
        <v>43</v>
      </c>
      <c r="M18" s="24" t="s">
        <v>43</v>
      </c>
      <c r="N18" s="24" t="s">
        <v>43</v>
      </c>
      <c r="O18" s="123" t="s">
        <v>43</v>
      </c>
      <c r="P18" s="24" t="s">
        <v>43</v>
      </c>
      <c r="Q18" s="24" t="s">
        <v>43</v>
      </c>
      <c r="R18" s="24" t="s">
        <v>43</v>
      </c>
      <c r="S18" s="24" t="s">
        <v>43</v>
      </c>
      <c r="T18" s="24" t="s">
        <v>43</v>
      </c>
      <c r="U18" s="24"/>
      <c r="V18" s="24"/>
      <c r="W18" s="24"/>
      <c r="X18" s="24"/>
      <c r="Y18" s="24"/>
      <c r="Z18" s="36" t="s">
        <v>2762</v>
      </c>
      <c r="AA18" s="36" t="s">
        <v>2762</v>
      </c>
      <c r="AB18" s="24"/>
      <c r="AC18" s="24"/>
      <c r="AD18" s="24"/>
      <c r="AE18" s="24" t="s">
        <v>43</v>
      </c>
      <c r="AF18" s="24"/>
      <c r="AG18" s="24"/>
      <c r="AH18" s="24"/>
      <c r="AI18" s="24"/>
    </row>
    <row r="19" customFormat="false" ht="15" hidden="false" customHeight="false" outlineLevel="0" collapsed="false">
      <c r="A19" s="33" t="n">
        <v>16</v>
      </c>
      <c r="B19" s="34" t="s">
        <v>31</v>
      </c>
      <c r="C19" s="35" t="n">
        <v>303</v>
      </c>
      <c r="D19" s="23" t="n">
        <v>2</v>
      </c>
      <c r="E19" s="126" t="s">
        <v>43</v>
      </c>
      <c r="F19" s="24"/>
      <c r="G19" s="24"/>
      <c r="H19" s="24"/>
      <c r="I19" s="24" t="s">
        <v>43</v>
      </c>
      <c r="J19" s="24" t="s">
        <v>43</v>
      </c>
      <c r="K19" s="24" t="s">
        <v>43</v>
      </c>
      <c r="L19" s="24" t="s">
        <v>43</v>
      </c>
      <c r="M19" s="24" t="s">
        <v>43</v>
      </c>
      <c r="N19" s="24" t="s">
        <v>43</v>
      </c>
      <c r="O19" s="24" t="s">
        <v>43</v>
      </c>
      <c r="P19" s="24" t="s">
        <v>43</v>
      </c>
      <c r="Q19" s="24" t="s">
        <v>43</v>
      </c>
      <c r="R19" s="24" t="s">
        <v>43</v>
      </c>
      <c r="S19" s="24" t="s">
        <v>43</v>
      </c>
      <c r="T19" s="24" t="s">
        <v>43</v>
      </c>
      <c r="U19" s="24" t="s">
        <v>43</v>
      </c>
      <c r="V19" s="24" t="s">
        <v>43</v>
      </c>
      <c r="W19" s="24" t="s">
        <v>43</v>
      </c>
      <c r="X19" s="24" t="s">
        <v>43</v>
      </c>
      <c r="Y19" s="24" t="s">
        <v>43</v>
      </c>
      <c r="Z19" s="24" t="s">
        <v>43</v>
      </c>
      <c r="AA19" s="24" t="s">
        <v>43</v>
      </c>
      <c r="AB19" s="24" t="s">
        <v>43</v>
      </c>
      <c r="AC19" s="24" t="s">
        <v>43</v>
      </c>
      <c r="AD19" s="24"/>
      <c r="AE19" s="24"/>
      <c r="AF19" s="24"/>
      <c r="AG19" s="24"/>
      <c r="AH19" s="24"/>
      <c r="AI19" s="24"/>
    </row>
    <row r="20" customFormat="false" ht="15" hidden="false" customHeight="false" outlineLevel="0" collapsed="false">
      <c r="A20" s="33" t="n">
        <v>17</v>
      </c>
      <c r="B20" s="34" t="s">
        <v>31</v>
      </c>
      <c r="C20" s="35" t="n">
        <v>403</v>
      </c>
      <c r="D20" s="23" t="n">
        <v>2</v>
      </c>
      <c r="E20" s="24"/>
      <c r="F20" s="24" t="s">
        <v>43</v>
      </c>
      <c r="G20" s="24" t="s">
        <v>43</v>
      </c>
      <c r="H20" s="24" t="s">
        <v>43</v>
      </c>
      <c r="I20" s="24" t="s">
        <v>43</v>
      </c>
      <c r="J20" s="24" t="s">
        <v>43</v>
      </c>
      <c r="K20" s="24"/>
      <c r="L20" s="124" t="s">
        <v>43</v>
      </c>
      <c r="M20" s="124" t="s">
        <v>43</v>
      </c>
      <c r="N20" s="124" t="s">
        <v>43</v>
      </c>
      <c r="O20" s="24" t="s">
        <v>43</v>
      </c>
      <c r="P20" s="24" t="s">
        <v>43</v>
      </c>
      <c r="Q20" s="125" t="s">
        <v>2760</v>
      </c>
      <c r="R20" s="24" t="s">
        <v>43</v>
      </c>
      <c r="S20" s="24" t="s">
        <v>43</v>
      </c>
      <c r="T20" s="24" t="s">
        <v>2761</v>
      </c>
      <c r="U20" s="24" t="s">
        <v>2761</v>
      </c>
      <c r="V20" s="24" t="s">
        <v>43</v>
      </c>
      <c r="W20" s="24"/>
      <c r="X20" s="24"/>
      <c r="Y20" s="24" t="s">
        <v>43</v>
      </c>
      <c r="Z20" s="24" t="s">
        <v>43</v>
      </c>
      <c r="AA20" s="24" t="s">
        <v>43</v>
      </c>
      <c r="AB20" s="24"/>
      <c r="AC20" s="24" t="s">
        <v>43</v>
      </c>
      <c r="AD20" s="108" t="s">
        <v>43</v>
      </c>
      <c r="AE20" s="108" t="s">
        <v>43</v>
      </c>
      <c r="AF20" s="108" t="s">
        <v>43</v>
      </c>
      <c r="AG20" s="24"/>
      <c r="AH20" s="24"/>
      <c r="AI20" s="24"/>
    </row>
    <row r="21" customFormat="false" ht="15.75" hidden="false" customHeight="true" outlineLevel="0" collapsed="false">
      <c r="A21" s="33" t="n">
        <v>18</v>
      </c>
      <c r="B21" s="34" t="s">
        <v>31</v>
      </c>
      <c r="C21" s="35" t="n">
        <v>503</v>
      </c>
      <c r="D21" s="23" t="n">
        <v>2</v>
      </c>
      <c r="E21" s="126" t="s">
        <v>43</v>
      </c>
      <c r="F21" s="24"/>
      <c r="G21" s="24" t="s">
        <v>43</v>
      </c>
      <c r="H21" s="24"/>
      <c r="I21" s="24" t="s">
        <v>2761</v>
      </c>
      <c r="J21" s="24" t="s">
        <v>2761</v>
      </c>
      <c r="K21" s="24" t="s">
        <v>2761</v>
      </c>
      <c r="L21" s="24" t="s">
        <v>43</v>
      </c>
      <c r="M21" s="24" t="s">
        <v>43</v>
      </c>
      <c r="N21" s="24" t="s">
        <v>43</v>
      </c>
      <c r="O21" s="24" t="s">
        <v>43</v>
      </c>
      <c r="P21" s="24" t="s">
        <v>43</v>
      </c>
      <c r="Q21" s="24" t="s">
        <v>43</v>
      </c>
      <c r="R21" s="24" t="s">
        <v>43</v>
      </c>
      <c r="S21" s="24"/>
      <c r="T21" s="104" t="s">
        <v>43</v>
      </c>
      <c r="U21" s="24" t="s">
        <v>2761</v>
      </c>
      <c r="V21" s="24"/>
      <c r="W21" s="24" t="s">
        <v>43</v>
      </c>
      <c r="X21" s="24" t="s">
        <v>2762</v>
      </c>
      <c r="Y21" s="24" t="s">
        <v>2761</v>
      </c>
      <c r="Z21" s="24"/>
      <c r="AA21" s="24" t="s">
        <v>43</v>
      </c>
      <c r="AB21" s="24" t="s">
        <v>43</v>
      </c>
      <c r="AC21" s="24" t="s">
        <v>43</v>
      </c>
      <c r="AD21" s="24"/>
      <c r="AE21" s="111" t="s">
        <v>43</v>
      </c>
      <c r="AF21" s="24"/>
      <c r="AG21" s="100" t="s">
        <v>43</v>
      </c>
      <c r="AH21" s="100" t="s">
        <v>43</v>
      </c>
      <c r="AI21" s="24"/>
    </row>
    <row r="22" customFormat="false" ht="15.75" hidden="false" customHeight="true" outlineLevel="0" collapsed="false">
      <c r="A22" s="33" t="n">
        <v>19</v>
      </c>
      <c r="B22" s="34" t="s">
        <v>31</v>
      </c>
      <c r="C22" s="35" t="n">
        <v>603</v>
      </c>
      <c r="D22" s="23" t="n">
        <v>2</v>
      </c>
      <c r="E22" s="24" t="s">
        <v>43</v>
      </c>
      <c r="F22" s="24" t="s">
        <v>43</v>
      </c>
      <c r="G22" s="24" t="s">
        <v>43</v>
      </c>
      <c r="H22" s="24" t="s">
        <v>43</v>
      </c>
      <c r="I22" s="24" t="s">
        <v>43</v>
      </c>
      <c r="J22" s="24" t="s">
        <v>43</v>
      </c>
      <c r="K22" s="24" t="s">
        <v>43</v>
      </c>
      <c r="L22" s="24" t="s">
        <v>43</v>
      </c>
      <c r="M22" s="24" t="s">
        <v>43</v>
      </c>
      <c r="N22" s="24" t="s">
        <v>43</v>
      </c>
      <c r="O22" s="24" t="s">
        <v>43</v>
      </c>
      <c r="P22" s="24" t="s">
        <v>43</v>
      </c>
      <c r="Q22" s="24" t="s">
        <v>2761</v>
      </c>
      <c r="R22" s="24" t="s">
        <v>2761</v>
      </c>
      <c r="S22" s="24" t="s">
        <v>2761</v>
      </c>
      <c r="T22" s="104" t="s">
        <v>43</v>
      </c>
      <c r="U22" s="24"/>
      <c r="V22" s="24" t="s">
        <v>43</v>
      </c>
      <c r="W22" s="24" t="s">
        <v>43</v>
      </c>
      <c r="X22" s="24" t="s">
        <v>2761</v>
      </c>
      <c r="Y22" s="24" t="s">
        <v>2761</v>
      </c>
      <c r="Z22" s="24"/>
      <c r="AA22" s="24"/>
      <c r="AB22" s="30" t="s">
        <v>43</v>
      </c>
      <c r="AC22" s="30" t="s">
        <v>43</v>
      </c>
      <c r="AD22" s="24"/>
      <c r="AE22" s="111" t="s">
        <v>43</v>
      </c>
      <c r="AF22" s="111" t="s">
        <v>43</v>
      </c>
      <c r="AG22" s="100" t="s">
        <v>43</v>
      </c>
      <c r="AH22" s="100" t="s">
        <v>43</v>
      </c>
      <c r="AI22" s="24"/>
    </row>
    <row r="23" customFormat="false" ht="15.75" hidden="false" customHeight="true" outlineLevel="0" collapsed="false">
      <c r="A23" s="33" t="n">
        <v>20</v>
      </c>
      <c r="B23" s="34" t="s">
        <v>31</v>
      </c>
      <c r="C23" s="35" t="n">
        <v>703</v>
      </c>
      <c r="D23" s="23" t="n">
        <v>2</v>
      </c>
      <c r="E23" s="24"/>
      <c r="F23" s="24"/>
      <c r="G23" s="24"/>
      <c r="H23" s="24" t="s">
        <v>43</v>
      </c>
      <c r="I23" s="24" t="s">
        <v>43</v>
      </c>
      <c r="J23" s="24" t="s">
        <v>43</v>
      </c>
      <c r="K23" s="24" t="s">
        <v>43</v>
      </c>
      <c r="L23" s="24"/>
      <c r="M23" s="24"/>
      <c r="N23" s="24"/>
      <c r="O23" s="24" t="s">
        <v>43</v>
      </c>
      <c r="P23" s="24"/>
      <c r="Q23" s="24" t="s">
        <v>43</v>
      </c>
      <c r="R23" s="24" t="s">
        <v>43</v>
      </c>
      <c r="S23" s="24" t="s">
        <v>43</v>
      </c>
      <c r="T23" s="24" t="s">
        <v>43</v>
      </c>
      <c r="U23" s="24" t="s">
        <v>43</v>
      </c>
      <c r="V23" s="24" t="s">
        <v>43</v>
      </c>
      <c r="W23" s="24" t="s">
        <v>43</v>
      </c>
      <c r="X23" s="24" t="s">
        <v>43</v>
      </c>
      <c r="Y23" s="24" t="s">
        <v>43</v>
      </c>
      <c r="Z23" s="24"/>
      <c r="AA23" s="24"/>
      <c r="AB23" s="24"/>
      <c r="AC23" s="24" t="s">
        <v>43</v>
      </c>
      <c r="AD23" s="24"/>
      <c r="AE23" s="111" t="s">
        <v>43</v>
      </c>
      <c r="AF23" s="111" t="s">
        <v>43</v>
      </c>
      <c r="AG23" s="24"/>
      <c r="AH23" s="24"/>
      <c r="AI23" s="24"/>
    </row>
    <row r="24" customFormat="false" ht="15.75" hidden="false" customHeight="true" outlineLevel="0" collapsed="false">
      <c r="A24" s="38" t="n">
        <v>21</v>
      </c>
      <c r="B24" s="50" t="s">
        <v>209</v>
      </c>
      <c r="C24" s="50" t="s">
        <v>209</v>
      </c>
      <c r="D24" s="23" t="n">
        <v>1</v>
      </c>
      <c r="E24" s="24" t="s">
        <v>2729</v>
      </c>
      <c r="F24" s="24" t="s">
        <v>2729</v>
      </c>
      <c r="G24" s="24" t="s">
        <v>2729</v>
      </c>
      <c r="H24" s="24" t="s">
        <v>2729</v>
      </c>
      <c r="I24" s="24" t="s">
        <v>2729</v>
      </c>
      <c r="J24" s="24" t="s">
        <v>2729</v>
      </c>
      <c r="K24" s="24" t="s">
        <v>2729</v>
      </c>
      <c r="L24" s="24" t="s">
        <v>2729</v>
      </c>
      <c r="M24" s="24" t="s">
        <v>2729</v>
      </c>
      <c r="N24" s="24" t="s">
        <v>2729</v>
      </c>
      <c r="O24" s="24" t="s">
        <v>2729</v>
      </c>
      <c r="P24" s="24" t="s">
        <v>2729</v>
      </c>
      <c r="Q24" s="24" t="s">
        <v>2729</v>
      </c>
      <c r="R24" s="24" t="s">
        <v>2729</v>
      </c>
      <c r="S24" s="24" t="s">
        <v>2729</v>
      </c>
      <c r="T24" s="24" t="s">
        <v>2729</v>
      </c>
      <c r="U24" s="24" t="s">
        <v>2729</v>
      </c>
      <c r="V24" s="24" t="s">
        <v>2729</v>
      </c>
      <c r="W24" s="24" t="s">
        <v>2729</v>
      </c>
      <c r="X24" s="24" t="s">
        <v>2729</v>
      </c>
      <c r="Y24" s="24" t="s">
        <v>2729</v>
      </c>
      <c r="Z24" s="24" t="s">
        <v>2729</v>
      </c>
      <c r="AA24" s="24" t="s">
        <v>2729</v>
      </c>
      <c r="AB24" s="24" t="s">
        <v>2729</v>
      </c>
      <c r="AC24" s="24" t="s">
        <v>2729</v>
      </c>
      <c r="AD24" s="24" t="s">
        <v>2729</v>
      </c>
      <c r="AE24" s="24" t="s">
        <v>2729</v>
      </c>
      <c r="AF24" s="24" t="s">
        <v>2729</v>
      </c>
      <c r="AG24" s="24" t="s">
        <v>2729</v>
      </c>
      <c r="AH24" s="24" t="s">
        <v>2729</v>
      </c>
      <c r="AI24" s="24" t="s">
        <v>2729</v>
      </c>
    </row>
    <row r="25" customFormat="false" ht="15.75" hidden="false" customHeight="true" outlineLevel="0" collapsed="false">
      <c r="D25" s="18"/>
    </row>
    <row r="26" customFormat="false" ht="15.75" hidden="false" customHeight="true" outlineLevel="0" collapsed="false">
      <c r="D26" s="18"/>
    </row>
    <row r="27" customFormat="false" ht="15.75" hidden="false" customHeight="true" outlineLevel="0" collapsed="false">
      <c r="D27" s="18"/>
      <c r="G27" s="40" t="s">
        <v>2730</v>
      </c>
      <c r="H27" s="40"/>
      <c r="I27" s="40"/>
      <c r="J27" s="40"/>
      <c r="K27" s="41" t="s">
        <v>2731</v>
      </c>
      <c r="L27" s="41"/>
      <c r="M27" s="41"/>
      <c r="N27" s="41"/>
      <c r="Q27" s="42" t="s">
        <v>2732</v>
      </c>
      <c r="R27" s="42"/>
      <c r="S27" s="42"/>
      <c r="T27" s="42"/>
      <c r="U27" s="42"/>
    </row>
    <row r="28" customFormat="false" ht="15.75" hidden="false" customHeight="true" outlineLevel="0" collapsed="false">
      <c r="B28" s="43" t="s">
        <v>2733</v>
      </c>
      <c r="C28" s="24" t="s">
        <v>2734</v>
      </c>
      <c r="D28" s="44" t="s">
        <v>2735</v>
      </c>
      <c r="E28" s="24" t="s">
        <v>2736</v>
      </c>
      <c r="G28" s="44" t="s">
        <v>2737</v>
      </c>
      <c r="H28" s="44" t="s">
        <v>2734</v>
      </c>
      <c r="I28" s="44" t="s">
        <v>2735</v>
      </c>
      <c r="J28" s="44" t="s">
        <v>2736</v>
      </c>
      <c r="K28" s="44" t="s">
        <v>2737</v>
      </c>
      <c r="L28" s="44" t="s">
        <v>2734</v>
      </c>
      <c r="M28" s="44" t="s">
        <v>2735</v>
      </c>
      <c r="N28" s="44" t="s">
        <v>2736</v>
      </c>
      <c r="Q28" s="45" t="s">
        <v>2733</v>
      </c>
      <c r="R28" s="46" t="s">
        <v>2734</v>
      </c>
      <c r="S28" s="46" t="s">
        <v>2736</v>
      </c>
      <c r="T28" s="46" t="s">
        <v>2738</v>
      </c>
      <c r="U28" s="46" t="s">
        <v>2739</v>
      </c>
    </row>
    <row r="29" customFormat="false" ht="15.75" hidden="false" customHeight="true" outlineLevel="0" collapsed="false">
      <c r="B29" s="24" t="s">
        <v>2740</v>
      </c>
      <c r="C29" s="24" t="n">
        <v>21</v>
      </c>
      <c r="D29" s="44" t="n">
        <f aca="false">C29*7</f>
        <v>147</v>
      </c>
      <c r="E29" s="24" t="n">
        <f aca="false">C29*31</f>
        <v>651</v>
      </c>
      <c r="G29" s="44"/>
      <c r="H29" s="47" t="n">
        <v>45474</v>
      </c>
      <c r="I29" s="44" t="s">
        <v>2775</v>
      </c>
      <c r="J29" s="44" t="s">
        <v>2776</v>
      </c>
      <c r="K29" s="44"/>
      <c r="L29" s="47" t="n">
        <v>45474</v>
      </c>
      <c r="M29" s="44" t="s">
        <v>2775</v>
      </c>
      <c r="N29" s="44" t="s">
        <v>2776</v>
      </c>
      <c r="Q29" s="36" t="s">
        <v>2740</v>
      </c>
      <c r="R29" s="24" t="n">
        <f aca="false">SUM(R30:R33)</f>
        <v>20</v>
      </c>
      <c r="S29" s="24" t="n">
        <v>651</v>
      </c>
      <c r="T29" s="24" t="n">
        <f aca="false">SUM(T30:T33)</f>
        <v>441</v>
      </c>
      <c r="U29" s="48" t="n">
        <f aca="false">T29/S29</f>
        <v>0.67741935483871</v>
      </c>
    </row>
    <row r="30" customFormat="false" ht="15.75" hidden="false" customHeight="true" outlineLevel="0" collapsed="false">
      <c r="B30" s="24" t="s">
        <v>65</v>
      </c>
      <c r="C30" s="24" t="n">
        <v>6</v>
      </c>
      <c r="D30" s="44" t="n">
        <f aca="false">C30*7</f>
        <v>42</v>
      </c>
      <c r="E30" s="24" t="n">
        <f aca="false">C30*31</f>
        <v>186</v>
      </c>
      <c r="G30" s="24" t="s">
        <v>65</v>
      </c>
      <c r="H30" s="24" t="n">
        <f aca="false">COUNTA(E4:E9)</f>
        <v>5</v>
      </c>
      <c r="I30" s="24" t="n">
        <f aca="false">COUNTA(J4:P9)</f>
        <v>33</v>
      </c>
      <c r="J30" s="24" t="n">
        <f aca="false">COUNTA(E4:AI9)</f>
        <v>161</v>
      </c>
      <c r="K30" s="24" t="s">
        <v>65</v>
      </c>
      <c r="L30" s="24" t="n">
        <f aca="false">COUNTBLANK(E4:E9)</f>
        <v>1</v>
      </c>
      <c r="M30" s="24" t="n">
        <f aca="false">COUNTBLANK(J4:P9)</f>
        <v>9</v>
      </c>
      <c r="N30" s="49" t="n">
        <f aca="false">COUNTBLANK(E4:AI9)</f>
        <v>25</v>
      </c>
      <c r="Q30" s="24" t="s">
        <v>65</v>
      </c>
      <c r="R30" s="24" t="n">
        <v>6</v>
      </c>
      <c r="S30" s="24" t="n">
        <v>186</v>
      </c>
      <c r="T30" s="78" t="n">
        <v>161</v>
      </c>
      <c r="U30" s="48" t="n">
        <f aca="false">T30/S30</f>
        <v>0.865591397849462</v>
      </c>
    </row>
    <row r="31" customFormat="false" ht="15.75" hidden="false" customHeight="true" outlineLevel="0" collapsed="false">
      <c r="B31" s="24" t="s">
        <v>60</v>
      </c>
      <c r="C31" s="24" t="n">
        <v>4</v>
      </c>
      <c r="D31" s="44" t="n">
        <f aca="false">C31*7</f>
        <v>28</v>
      </c>
      <c r="E31" s="24" t="n">
        <f aca="false">C31*31</f>
        <v>124</v>
      </c>
      <c r="G31" s="24" t="s">
        <v>60</v>
      </c>
      <c r="H31" s="49" t="n">
        <f aca="false">COUNTA(E10:E13)</f>
        <v>4</v>
      </c>
      <c r="I31" s="24"/>
      <c r="J31" s="24" t="n">
        <f aca="false">COUNTA(E10:AI13)</f>
        <v>89</v>
      </c>
      <c r="K31" s="24" t="s">
        <v>60</v>
      </c>
      <c r="L31" s="49" t="n">
        <f aca="false">COUNTBLANK(I10:I14)</f>
        <v>1</v>
      </c>
      <c r="M31" s="24"/>
      <c r="N31" s="24" t="n">
        <f aca="false">COUNTBLANK(E10:AI13)</f>
        <v>35</v>
      </c>
      <c r="Q31" s="24" t="s">
        <v>60</v>
      </c>
      <c r="R31" s="24" t="n">
        <v>4</v>
      </c>
      <c r="S31" s="24" t="n">
        <v>124</v>
      </c>
      <c r="T31" s="78" t="n">
        <v>89</v>
      </c>
      <c r="U31" s="48" t="n">
        <f aca="false">T31/S31</f>
        <v>0.717741935483871</v>
      </c>
    </row>
    <row r="32" customFormat="false" ht="15.75" hidden="false" customHeight="true" outlineLevel="0" collapsed="false">
      <c r="B32" s="24" t="s">
        <v>71</v>
      </c>
      <c r="C32" s="24" t="n">
        <v>3</v>
      </c>
      <c r="D32" s="44" t="n">
        <f aca="false">C32*7</f>
        <v>21</v>
      </c>
      <c r="E32" s="24" t="n">
        <f aca="false">C32*31</f>
        <v>93</v>
      </c>
      <c r="G32" s="24" t="s">
        <v>71</v>
      </c>
      <c r="H32" s="49" t="n">
        <f aca="false">COUNTA(E14:E16)</f>
        <v>2</v>
      </c>
      <c r="I32" s="24"/>
      <c r="J32" s="24" t="n">
        <f aca="false">COUNTA(E14:AI16)</f>
        <v>54</v>
      </c>
      <c r="K32" s="24" t="s">
        <v>71</v>
      </c>
      <c r="L32" s="49" t="n">
        <f aca="false">COUNTBLANK(I14:I16)</f>
        <v>1</v>
      </c>
      <c r="M32" s="24"/>
      <c r="N32" s="24" t="n">
        <f aca="false">COUNTBLANK(E14:AI16)</f>
        <v>39</v>
      </c>
      <c r="Q32" s="24" t="s">
        <v>71</v>
      </c>
      <c r="R32" s="24" t="n">
        <v>3</v>
      </c>
      <c r="S32" s="24" t="n">
        <v>93</v>
      </c>
      <c r="T32" s="78" t="n">
        <v>54</v>
      </c>
      <c r="U32" s="48" t="n">
        <f aca="false">T32/S32</f>
        <v>0.580645161290323</v>
      </c>
    </row>
    <row r="33" customFormat="false" ht="15.75" hidden="false" customHeight="true" outlineLevel="0" collapsed="false">
      <c r="B33" s="24" t="s">
        <v>2743</v>
      </c>
      <c r="C33" s="24" t="n">
        <v>7</v>
      </c>
      <c r="D33" s="44" t="n">
        <f aca="false">C33*7</f>
        <v>49</v>
      </c>
      <c r="E33" s="24" t="n">
        <f aca="false">C33*31</f>
        <v>217</v>
      </c>
      <c r="G33" s="24" t="s">
        <v>2743</v>
      </c>
      <c r="H33" s="49" t="n">
        <f aca="false">COUNTA(E17:E23)</f>
        <v>4</v>
      </c>
      <c r="I33" s="24"/>
      <c r="J33" s="24" t="n">
        <f aca="false">COUNTA(E17:AI23)</f>
        <v>137</v>
      </c>
      <c r="K33" s="24" t="s">
        <v>2743</v>
      </c>
      <c r="L33" s="49" t="n">
        <f aca="false">COUNTBLANK(I17:I23)</f>
        <v>1</v>
      </c>
      <c r="M33" s="24"/>
      <c r="N33" s="24" t="n">
        <f aca="false">COUNTBLANK(E17:AI23)</f>
        <v>80</v>
      </c>
      <c r="Q33" s="24" t="s">
        <v>2743</v>
      </c>
      <c r="R33" s="24" t="n">
        <v>7</v>
      </c>
      <c r="S33" s="24" t="n">
        <v>217</v>
      </c>
      <c r="T33" s="78" t="n">
        <v>137</v>
      </c>
      <c r="U33" s="48" t="n">
        <f aca="false">T33/S33</f>
        <v>0.631336405529954</v>
      </c>
    </row>
    <row r="34" customFormat="false" ht="15.75" hidden="false" customHeight="true" outlineLevel="0" collapsed="false">
      <c r="B34" s="24" t="s">
        <v>2744</v>
      </c>
      <c r="C34" s="24" t="n">
        <v>1</v>
      </c>
      <c r="D34" s="44" t="n">
        <f aca="false">C34*7</f>
        <v>7</v>
      </c>
      <c r="E34" s="24" t="n">
        <f aca="false">C34*31</f>
        <v>31</v>
      </c>
      <c r="G34" s="24" t="s">
        <v>2744</v>
      </c>
      <c r="H34" s="24" t="n">
        <f aca="false">COUNTA(E24)</f>
        <v>1</v>
      </c>
      <c r="I34" s="24"/>
      <c r="J34" s="24"/>
      <c r="K34" s="24" t="s">
        <v>2744</v>
      </c>
      <c r="L34" s="24" t="n">
        <f aca="false">COUNTBLANK(I24)</f>
        <v>0</v>
      </c>
      <c r="M34" s="24"/>
      <c r="N34" s="24"/>
    </row>
    <row r="35" customFormat="false" ht="15.75" hidden="false" customHeight="true" outlineLevel="0" collapsed="false">
      <c r="D35" s="18"/>
      <c r="H35" s="15"/>
      <c r="I35" s="15"/>
      <c r="J35" s="15"/>
    </row>
    <row r="36" customFormat="false" ht="15.75" hidden="false" customHeight="true" outlineLevel="0" collapsed="false">
      <c r="D36" s="18"/>
      <c r="G36" s="15"/>
      <c r="H36" s="15"/>
      <c r="I36" s="15"/>
      <c r="J36" s="15"/>
    </row>
    <row r="37" customFormat="false" ht="15.75" hidden="false" customHeight="true" outlineLevel="0" collapsed="false">
      <c r="D37" s="18"/>
      <c r="G37" s="52" t="s">
        <v>2745</v>
      </c>
      <c r="H37" s="52"/>
      <c r="I37" s="52"/>
      <c r="J37" s="52"/>
    </row>
    <row r="38" customFormat="false" ht="15.75" hidden="false" customHeight="true" outlineLevel="0" collapsed="false">
      <c r="B38" s="54" t="s">
        <v>2747</v>
      </c>
      <c r="C38" s="54" t="s">
        <v>2748</v>
      </c>
      <c r="D38" s="15"/>
      <c r="G38" s="54" t="s">
        <v>2748</v>
      </c>
      <c r="H38" s="54" t="s">
        <v>2734</v>
      </c>
      <c r="I38" s="54" t="s">
        <v>2735</v>
      </c>
      <c r="J38" s="54" t="s">
        <v>2736</v>
      </c>
      <c r="M38" s="53" t="s">
        <v>2746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customFormat="false" ht="15.75" hidden="false" customHeight="true" outlineLevel="0" collapsed="false">
      <c r="B39" s="24" t="s">
        <v>2760</v>
      </c>
      <c r="C39" s="24" t="s">
        <v>2750</v>
      </c>
      <c r="D39" s="18"/>
      <c r="G39" s="24" t="s">
        <v>2750</v>
      </c>
      <c r="H39" s="24"/>
      <c r="I39" s="24"/>
      <c r="J39" s="24" t="n">
        <f aca="false">COUNTIF($E$4:$AI$24,B39)</f>
        <v>13</v>
      </c>
      <c r="M39" s="75" t="s">
        <v>2737</v>
      </c>
      <c r="N39" s="54" t="s">
        <v>2749</v>
      </c>
      <c r="O39" s="54" t="s">
        <v>2750</v>
      </c>
      <c r="P39" s="54" t="s">
        <v>2751</v>
      </c>
      <c r="Q39" s="54" t="s">
        <v>2752</v>
      </c>
      <c r="R39" s="54" t="s">
        <v>2753</v>
      </c>
      <c r="S39" s="54" t="s">
        <v>2754</v>
      </c>
      <c r="T39" s="54" t="s">
        <v>2755</v>
      </c>
      <c r="U39" s="54" t="s">
        <v>36</v>
      </c>
      <c r="V39" s="54" t="s">
        <v>2756</v>
      </c>
      <c r="W39" s="54" t="s">
        <v>2757</v>
      </c>
      <c r="X39" s="54" t="s">
        <v>2758</v>
      </c>
      <c r="Y39" s="43" t="s">
        <v>2759</v>
      </c>
    </row>
    <row r="40" customFormat="false" ht="15.75" hidden="false" customHeight="true" outlineLevel="0" collapsed="false">
      <c r="B40" s="24" t="s">
        <v>2761</v>
      </c>
      <c r="C40" s="24" t="s">
        <v>2751</v>
      </c>
      <c r="D40" s="18"/>
      <c r="G40" s="24" t="s">
        <v>2751</v>
      </c>
      <c r="H40" s="24"/>
      <c r="I40" s="24"/>
      <c r="J40" s="24" t="n">
        <f aca="false">COUNTIF($E$4:$AI$24,B40)</f>
        <v>62</v>
      </c>
      <c r="M40" s="24" t="s">
        <v>65</v>
      </c>
      <c r="N40" s="43" t="n">
        <v>161</v>
      </c>
      <c r="O40" s="24" t="n">
        <f aca="false">COUNTIF($E$4:$AI$9,O44)</f>
        <v>3</v>
      </c>
      <c r="P40" s="24" t="n">
        <f aca="false">COUNTIF($E$4:$AI$9,P44)</f>
        <v>42</v>
      </c>
      <c r="Q40" s="24" t="n">
        <f aca="false">COUNTIF($E$4:$AI$9,Q44)</f>
        <v>4</v>
      </c>
      <c r="R40" s="24" t="n">
        <f aca="false">COUNTIF($E$4:$AI$9,R44)</f>
        <v>108</v>
      </c>
      <c r="S40" s="24" t="n">
        <f aca="false">COUNTIF($E$4:$AI$9,S44)</f>
        <v>2</v>
      </c>
      <c r="T40" s="24" t="n">
        <f aca="false">COUNTIF($E$4:$AI$9,T44)</f>
        <v>0</v>
      </c>
      <c r="U40" s="24" t="n">
        <f aca="false">COUNTIF($E$4:$AI$9,U44)</f>
        <v>0</v>
      </c>
      <c r="V40" s="24" t="n">
        <f aca="false">COUNTIF($E$4:$AI$9,V44)</f>
        <v>0</v>
      </c>
      <c r="W40" s="24" t="n">
        <f aca="false">COUNTIF($E$4:$AI$9,W44)</f>
        <v>0</v>
      </c>
      <c r="X40" s="24" t="n">
        <f aca="false">COUNTIF($E$4:$AI$9,X44)</f>
        <v>2</v>
      </c>
      <c r="Y40" s="24" t="n">
        <f aca="false">COUNTIF($E$4:$AI$9,Y44)</f>
        <v>0</v>
      </c>
    </row>
    <row r="41" customFormat="false" ht="15.75" hidden="false" customHeight="true" outlineLevel="0" collapsed="false">
      <c r="B41" s="24" t="s">
        <v>2762</v>
      </c>
      <c r="C41" s="24" t="s">
        <v>2752</v>
      </c>
      <c r="D41" s="18"/>
      <c r="G41" s="24" t="s">
        <v>2752</v>
      </c>
      <c r="H41" s="24"/>
      <c r="I41" s="24"/>
      <c r="J41" s="24" t="n">
        <f aca="false">COUNTIF($E$4:$AI$24,B41)</f>
        <v>21</v>
      </c>
      <c r="M41" s="24" t="s">
        <v>60</v>
      </c>
      <c r="N41" s="43" t="n">
        <v>89</v>
      </c>
      <c r="O41" s="24" t="n">
        <f aca="false">COUNTIF($E$10:$AI$13,O44)</f>
        <v>6</v>
      </c>
      <c r="P41" s="24" t="n">
        <f aca="false">COUNTIF($E$10:$AI$13,P44)</f>
        <v>5</v>
      </c>
      <c r="Q41" s="24" t="n">
        <f aca="false">COUNTIF($E$10:$AI$13,Q44)</f>
        <v>9</v>
      </c>
      <c r="R41" s="24" t="n">
        <f aca="false">COUNTIF($E$10:$AI$13,R44)</f>
        <v>66</v>
      </c>
      <c r="S41" s="24" t="n">
        <f aca="false">COUNTIF($E$10:$AI$13,S44)</f>
        <v>0</v>
      </c>
      <c r="T41" s="24" t="n">
        <f aca="false">COUNTIF($E$10:$AI$13,T44)</f>
        <v>0</v>
      </c>
      <c r="U41" s="24" t="n">
        <f aca="false">COUNTIF($E$10:$AI$13,U44)</f>
        <v>0</v>
      </c>
      <c r="V41" s="24" t="n">
        <f aca="false">COUNTIF($E$10:$AI$13,V44)</f>
        <v>3</v>
      </c>
      <c r="W41" s="24" t="n">
        <f aca="false">COUNTIF($E$10:$AI$13,W44)</f>
        <v>0</v>
      </c>
      <c r="X41" s="24" t="n">
        <f aca="false">COUNTIF($E$10:$AI$13,X44)</f>
        <v>0</v>
      </c>
      <c r="Y41" s="24" t="n">
        <f aca="false">COUNTIF($E$10:$AI$13,Y44)</f>
        <v>0</v>
      </c>
    </row>
    <row r="42" customFormat="false" ht="15.75" hidden="false" customHeight="true" outlineLevel="0" collapsed="false">
      <c r="B42" s="24" t="s">
        <v>43</v>
      </c>
      <c r="C42" s="24" t="s">
        <v>2753</v>
      </c>
      <c r="D42" s="18"/>
      <c r="G42" s="24" t="s">
        <v>2753</v>
      </c>
      <c r="H42" s="24"/>
      <c r="I42" s="24"/>
      <c r="J42" s="24" t="n">
        <f aca="false">COUNTIF($E$4:$AI$24,B42)</f>
        <v>329</v>
      </c>
      <c r="M42" s="24" t="s">
        <v>71</v>
      </c>
      <c r="N42" s="43" t="n">
        <v>54</v>
      </c>
      <c r="O42" s="24" t="n">
        <f aca="false">COUNTIF($E$14:$AI$16,O44)</f>
        <v>3</v>
      </c>
      <c r="P42" s="24" t="n">
        <f aca="false">COUNTIF($E$14:$AI$16,P44)</f>
        <v>3</v>
      </c>
      <c r="Q42" s="24" t="n">
        <f aca="false">COUNTIF($E$14:$AI$16,Q44)</f>
        <v>3</v>
      </c>
      <c r="R42" s="24" t="n">
        <f aca="false">COUNTIF($E$14:$AI$16,R44)</f>
        <v>37</v>
      </c>
      <c r="S42" s="24" t="n">
        <f aca="false">COUNTIF($E$14:$AI$16,S44)</f>
        <v>7</v>
      </c>
      <c r="T42" s="24" t="n">
        <f aca="false">COUNTIF($E$14:$AI$16,T44)</f>
        <v>0</v>
      </c>
      <c r="U42" s="24" t="n">
        <f aca="false">COUNTIF($E$14:$AI$16,U44)</f>
        <v>0</v>
      </c>
      <c r="V42" s="24" t="n">
        <f aca="false">COUNTIF($E$14:$AI$16,V44)</f>
        <v>0</v>
      </c>
      <c r="W42" s="24" t="n">
        <f aca="false">COUNTIF($E$14:$AI$16,W44)</f>
        <v>0</v>
      </c>
      <c r="X42" s="24" t="n">
        <f aca="false">COUNTIF($E$14:$AI$16,X44)</f>
        <v>0</v>
      </c>
      <c r="Y42" s="24" t="n">
        <f aca="false">COUNTIF($E$14:$AI$16,Y44)</f>
        <v>0</v>
      </c>
    </row>
    <row r="43" customFormat="false" ht="15.75" hidden="false" customHeight="true" outlineLevel="0" collapsed="false">
      <c r="B43" s="24" t="s">
        <v>2727</v>
      </c>
      <c r="C43" s="24" t="s">
        <v>2754</v>
      </c>
      <c r="D43" s="18"/>
      <c r="G43" s="24" t="s">
        <v>2754</v>
      </c>
      <c r="H43" s="24"/>
      <c r="I43" s="24"/>
      <c r="J43" s="24" t="n">
        <f aca="false">COUNTIF($E$4:$AI$24,B43)</f>
        <v>10</v>
      </c>
      <c r="M43" s="24" t="s">
        <v>2743</v>
      </c>
      <c r="N43" s="43" t="n">
        <v>137</v>
      </c>
      <c r="O43" s="24" t="n">
        <f aca="false">COUNTIF($E$17:$AI$23,O44)</f>
        <v>1</v>
      </c>
      <c r="P43" s="24" t="n">
        <f aca="false">COUNTIF($E$17:$AI$23,P44)</f>
        <v>12</v>
      </c>
      <c r="Q43" s="24" t="n">
        <f aca="false">COUNTIF($E$17:$AI$23,Q44)</f>
        <v>5</v>
      </c>
      <c r="R43" s="24" t="n">
        <f aca="false">COUNTIF($E$17:$AI$23,R44)</f>
        <v>118</v>
      </c>
      <c r="S43" s="24" t="n">
        <f aca="false">COUNTIF($E$17:$AI$23,S44)</f>
        <v>1</v>
      </c>
      <c r="T43" s="24" t="n">
        <f aca="false">COUNTIF($E$17:$AI$23,T44)</f>
        <v>0</v>
      </c>
      <c r="U43" s="24" t="n">
        <f aca="false">COUNTIF($E$17:$AI$23,U44)</f>
        <v>0</v>
      </c>
      <c r="V43" s="24" t="n">
        <f aca="false">COUNTIF($E$17:$AI$23,V44)</f>
        <v>0</v>
      </c>
      <c r="W43" s="24" t="n">
        <f aca="false">COUNTIF($E$17:$AI$23,W44)</f>
        <v>0</v>
      </c>
      <c r="X43" s="24" t="n">
        <f aca="false">COUNTIF($E$17:$AI$23,X44)</f>
        <v>0</v>
      </c>
      <c r="Y43" s="24" t="n">
        <f aca="false">COUNTIF($E$17:$AI$23,Y44)</f>
        <v>0</v>
      </c>
    </row>
    <row r="44" customFormat="false" ht="15.75" hidden="false" customHeight="true" outlineLevel="0" collapsed="false">
      <c r="B44" s="24" t="s">
        <v>2763</v>
      </c>
      <c r="C44" s="24" t="s">
        <v>2755</v>
      </c>
      <c r="D44" s="18"/>
      <c r="G44" s="24" t="s">
        <v>2755</v>
      </c>
      <c r="H44" s="24"/>
      <c r="I44" s="24"/>
      <c r="J44" s="24" t="n">
        <f aca="false">COUNTIF($E$4:$AI$24,B44)</f>
        <v>0</v>
      </c>
      <c r="O44" s="50" t="s">
        <v>2760</v>
      </c>
      <c r="P44" s="50" t="s">
        <v>2761</v>
      </c>
      <c r="Q44" s="50" t="s">
        <v>2762</v>
      </c>
      <c r="R44" s="50" t="s">
        <v>43</v>
      </c>
      <c r="S44" s="50" t="s">
        <v>2727</v>
      </c>
      <c r="T44" s="50" t="s">
        <v>2763</v>
      </c>
      <c r="U44" s="50" t="s">
        <v>2728</v>
      </c>
      <c r="V44" s="50" t="s">
        <v>2764</v>
      </c>
      <c r="W44" s="50" t="s">
        <v>2765</v>
      </c>
      <c r="X44" s="50" t="s">
        <v>54</v>
      </c>
      <c r="Y44" s="50" t="s">
        <v>2766</v>
      </c>
    </row>
    <row r="45" customFormat="false" ht="15.75" hidden="false" customHeight="true" outlineLevel="0" collapsed="false">
      <c r="B45" s="24" t="s">
        <v>2728</v>
      </c>
      <c r="C45" s="24" t="s">
        <v>36</v>
      </c>
      <c r="D45" s="18"/>
      <c r="G45" s="24" t="s">
        <v>36</v>
      </c>
      <c r="H45" s="24"/>
      <c r="I45" s="24"/>
      <c r="J45" s="24" t="n">
        <f aca="false">COUNTIF($E$4:$AI$24,B45)</f>
        <v>0</v>
      </c>
    </row>
    <row r="46" customFormat="false" ht="15.75" hidden="false" customHeight="true" outlineLevel="0" collapsed="false">
      <c r="B46" s="24" t="s">
        <v>2764</v>
      </c>
      <c r="C46" s="24" t="s">
        <v>2756</v>
      </c>
      <c r="D46" s="18"/>
      <c r="G46" s="24" t="s">
        <v>2756</v>
      </c>
      <c r="H46" s="24"/>
      <c r="I46" s="24"/>
      <c r="J46" s="24" t="n">
        <f aca="false">COUNTIF($E$4:$AI$24,B46)</f>
        <v>3</v>
      </c>
    </row>
    <row r="47" customFormat="false" ht="15.75" hidden="false" customHeight="true" outlineLevel="0" collapsed="false">
      <c r="B47" s="24" t="s">
        <v>2765</v>
      </c>
      <c r="C47" s="24" t="s">
        <v>2757</v>
      </c>
      <c r="D47" s="18"/>
      <c r="G47" s="24" t="s">
        <v>2757</v>
      </c>
      <c r="H47" s="24"/>
      <c r="I47" s="24"/>
      <c r="J47" s="24" t="n">
        <f aca="false">COUNTIF($E$4:$AI$24,B47)</f>
        <v>0</v>
      </c>
    </row>
    <row r="48" customFormat="false" ht="15.75" hidden="false" customHeight="true" outlineLevel="0" collapsed="false">
      <c r="B48" s="24" t="s">
        <v>54</v>
      </c>
      <c r="C48" s="24" t="s">
        <v>2758</v>
      </c>
      <c r="D48" s="18"/>
      <c r="G48" s="24" t="s">
        <v>2758</v>
      </c>
      <c r="H48" s="24"/>
      <c r="I48" s="24"/>
      <c r="J48" s="24" t="n">
        <f aca="false">COUNTIF($E$4:$AI$24,B48)</f>
        <v>2</v>
      </c>
    </row>
    <row r="49" customFormat="false" ht="15.75" hidden="false" customHeight="true" outlineLevel="0" collapsed="false">
      <c r="B49" s="24" t="s">
        <v>2766</v>
      </c>
      <c r="C49" s="24" t="s">
        <v>2759</v>
      </c>
      <c r="D49" s="18"/>
      <c r="G49" s="24" t="s">
        <v>2759</v>
      </c>
      <c r="H49" s="24"/>
      <c r="I49" s="24"/>
      <c r="J49" s="24" t="n">
        <f aca="false">COUNTIF($E$4:$AI$24,B49)</f>
        <v>0</v>
      </c>
    </row>
    <row r="50" customFormat="false" ht="15.75" hidden="false" customHeight="true" outlineLevel="0" collapsed="false">
      <c r="D50" s="18"/>
    </row>
    <row r="51" customFormat="false" ht="15.75" hidden="false" customHeight="true" outlineLevel="0" collapsed="false">
      <c r="D51" s="18"/>
    </row>
    <row r="52" customFormat="false" ht="15.75" hidden="false" customHeight="true" outlineLevel="0" collapsed="false">
      <c r="D52" s="18"/>
    </row>
    <row r="53" customFormat="false" ht="15.75" hidden="false" customHeight="true" outlineLevel="0" collapsed="false">
      <c r="D53" s="18"/>
    </row>
    <row r="54" customFormat="false" ht="15.75" hidden="false" customHeight="true" outlineLevel="0" collapsed="false">
      <c r="D54" s="18"/>
    </row>
    <row r="55" customFormat="false" ht="15.75" hidden="false" customHeight="true" outlineLevel="0" collapsed="false">
      <c r="D55" s="18"/>
    </row>
    <row r="56" customFormat="false" ht="15.75" hidden="false" customHeight="true" outlineLevel="0" collapsed="false">
      <c r="D56" s="18"/>
    </row>
    <row r="57" customFormat="false" ht="15.75" hidden="false" customHeight="true" outlineLevel="0" collapsed="false">
      <c r="D57" s="18"/>
    </row>
    <row r="58" customFormat="false" ht="15.75" hidden="false" customHeight="true" outlineLevel="0" collapsed="false">
      <c r="D58" s="18"/>
    </row>
    <row r="59" customFormat="false" ht="15.75" hidden="false" customHeight="true" outlineLevel="0" collapsed="false">
      <c r="D59" s="18"/>
    </row>
    <row r="60" customFormat="false" ht="15.75" hidden="false" customHeight="true" outlineLevel="0" collapsed="false">
      <c r="D60" s="18"/>
    </row>
    <row r="61" customFormat="false" ht="15.75" hidden="false" customHeight="true" outlineLevel="0" collapsed="false">
      <c r="D61" s="18"/>
    </row>
    <row r="62" customFormat="false" ht="15.75" hidden="false" customHeight="true" outlineLevel="0" collapsed="false">
      <c r="D62" s="18"/>
    </row>
    <row r="63" customFormat="false" ht="15.75" hidden="false" customHeight="true" outlineLevel="0" collapsed="false">
      <c r="D63" s="18"/>
    </row>
    <row r="64" customFormat="false" ht="15.75" hidden="false" customHeight="true" outlineLevel="0" collapsed="false">
      <c r="D64" s="18"/>
    </row>
    <row r="65" customFormat="false" ht="15.75" hidden="false" customHeight="true" outlineLevel="0" collapsed="false">
      <c r="D65" s="18"/>
    </row>
    <row r="66" customFormat="false" ht="15.75" hidden="false" customHeight="true" outlineLevel="0" collapsed="false">
      <c r="D66" s="18"/>
    </row>
    <row r="67" customFormat="false" ht="15.75" hidden="false" customHeight="true" outlineLevel="0" collapsed="false">
      <c r="D67" s="18"/>
    </row>
    <row r="68" customFormat="false" ht="15.75" hidden="false" customHeight="true" outlineLevel="0" collapsed="false">
      <c r="D68" s="18"/>
    </row>
    <row r="69" customFormat="false" ht="15.75" hidden="false" customHeight="true" outlineLevel="0" collapsed="false">
      <c r="D69" s="18"/>
    </row>
    <row r="70" customFormat="false" ht="15.75" hidden="false" customHeight="true" outlineLevel="0" collapsed="false">
      <c r="D70" s="18"/>
    </row>
    <row r="71" customFormat="false" ht="15.75" hidden="false" customHeight="true" outlineLevel="0" collapsed="false">
      <c r="D71" s="18"/>
    </row>
    <row r="72" customFormat="false" ht="15.75" hidden="false" customHeight="true" outlineLevel="0" collapsed="false">
      <c r="D72" s="18"/>
    </row>
    <row r="73" customFormat="false" ht="15.75" hidden="false" customHeight="true" outlineLevel="0" collapsed="false">
      <c r="D73" s="18"/>
    </row>
    <row r="74" customFormat="false" ht="15.75" hidden="false" customHeight="true" outlineLevel="0" collapsed="false">
      <c r="D74" s="18"/>
    </row>
    <row r="75" customFormat="false" ht="15.75" hidden="false" customHeight="true" outlineLevel="0" collapsed="false">
      <c r="D75" s="18"/>
    </row>
    <row r="76" customFormat="false" ht="15.75" hidden="false" customHeight="true" outlineLevel="0" collapsed="false">
      <c r="D76" s="18"/>
    </row>
    <row r="77" customFormat="false" ht="15.75" hidden="false" customHeight="true" outlineLevel="0" collapsed="false">
      <c r="D77" s="18"/>
    </row>
    <row r="78" customFormat="false" ht="15.75" hidden="false" customHeight="true" outlineLevel="0" collapsed="false">
      <c r="D78" s="18"/>
    </row>
    <row r="79" customFormat="false" ht="15.75" hidden="false" customHeight="true" outlineLevel="0" collapsed="false">
      <c r="D79" s="18"/>
    </row>
    <row r="80" customFormat="false" ht="15.75" hidden="false" customHeight="true" outlineLevel="0" collapsed="false">
      <c r="D80" s="18"/>
    </row>
    <row r="81" customFormat="false" ht="15.75" hidden="false" customHeight="true" outlineLevel="0" collapsed="false">
      <c r="D81" s="18"/>
    </row>
    <row r="82" customFormat="false" ht="15.75" hidden="false" customHeight="true" outlineLevel="0" collapsed="false">
      <c r="D82" s="18"/>
    </row>
    <row r="83" customFormat="false" ht="15.75" hidden="false" customHeight="true" outlineLevel="0" collapsed="false">
      <c r="D83" s="18"/>
    </row>
    <row r="84" customFormat="false" ht="15.75" hidden="false" customHeight="true" outlineLevel="0" collapsed="false">
      <c r="D84" s="18"/>
    </row>
    <row r="85" customFormat="false" ht="15.75" hidden="false" customHeight="true" outlineLevel="0" collapsed="false">
      <c r="D85" s="18"/>
    </row>
    <row r="86" customFormat="false" ht="15.75" hidden="false" customHeight="true" outlineLevel="0" collapsed="false">
      <c r="D86" s="18"/>
    </row>
    <row r="87" customFormat="false" ht="15.75" hidden="false" customHeight="true" outlineLevel="0" collapsed="false">
      <c r="D87" s="18"/>
    </row>
    <row r="88" customFormat="false" ht="15.75" hidden="false" customHeight="true" outlineLevel="0" collapsed="false">
      <c r="D88" s="18"/>
    </row>
    <row r="89" customFormat="false" ht="15.75" hidden="false" customHeight="true" outlineLevel="0" collapsed="false">
      <c r="D89" s="18"/>
    </row>
    <row r="90" customFormat="false" ht="15.75" hidden="false" customHeight="true" outlineLevel="0" collapsed="false">
      <c r="D90" s="18"/>
    </row>
    <row r="91" customFormat="false" ht="15.75" hidden="false" customHeight="true" outlineLevel="0" collapsed="false">
      <c r="D91" s="18"/>
    </row>
    <row r="92" customFormat="false" ht="15.75" hidden="false" customHeight="true" outlineLevel="0" collapsed="false">
      <c r="D92" s="18"/>
    </row>
    <row r="93" customFormat="false" ht="15.75" hidden="false" customHeight="true" outlineLevel="0" collapsed="false">
      <c r="D93" s="18"/>
    </row>
    <row r="94" customFormat="false" ht="15.75" hidden="false" customHeight="true" outlineLevel="0" collapsed="false">
      <c r="D94" s="18"/>
    </row>
    <row r="95" customFormat="false" ht="15.75" hidden="false" customHeight="true" outlineLevel="0" collapsed="false">
      <c r="D95" s="18"/>
    </row>
    <row r="96" customFormat="false" ht="15.75" hidden="false" customHeight="true" outlineLevel="0" collapsed="false">
      <c r="D96" s="18"/>
    </row>
    <row r="97" customFormat="false" ht="15.75" hidden="false" customHeight="true" outlineLevel="0" collapsed="false">
      <c r="D97" s="18"/>
    </row>
    <row r="98" customFormat="false" ht="15.75" hidden="false" customHeight="true" outlineLevel="0" collapsed="false">
      <c r="D98" s="18"/>
    </row>
    <row r="99" customFormat="false" ht="15.75" hidden="false" customHeight="true" outlineLevel="0" collapsed="false">
      <c r="D99" s="18"/>
    </row>
    <row r="100" customFormat="false" ht="15.75" hidden="false" customHeight="true" outlineLevel="0" collapsed="false">
      <c r="D100" s="18"/>
    </row>
    <row r="101" customFormat="false" ht="15.75" hidden="false" customHeight="true" outlineLevel="0" collapsed="false">
      <c r="D101" s="18"/>
    </row>
    <row r="102" customFormat="false" ht="15.75" hidden="false" customHeight="true" outlineLevel="0" collapsed="false">
      <c r="D102" s="18"/>
    </row>
    <row r="103" customFormat="false" ht="15.75" hidden="false" customHeight="true" outlineLevel="0" collapsed="false">
      <c r="D103" s="18"/>
    </row>
    <row r="104" customFormat="false" ht="15.75" hidden="false" customHeight="true" outlineLevel="0" collapsed="false">
      <c r="D104" s="18"/>
    </row>
    <row r="105" customFormat="false" ht="15.75" hidden="false" customHeight="true" outlineLevel="0" collapsed="false">
      <c r="D105" s="18"/>
    </row>
    <row r="106" customFormat="false" ht="15.75" hidden="false" customHeight="true" outlineLevel="0" collapsed="false">
      <c r="D106" s="18"/>
    </row>
    <row r="107" customFormat="false" ht="15.75" hidden="false" customHeight="true" outlineLevel="0" collapsed="false">
      <c r="D107" s="18"/>
    </row>
    <row r="108" customFormat="false" ht="15.75" hidden="false" customHeight="true" outlineLevel="0" collapsed="false">
      <c r="D108" s="18"/>
    </row>
    <row r="109" customFormat="false" ht="15.75" hidden="false" customHeight="true" outlineLevel="0" collapsed="false">
      <c r="D109" s="18"/>
    </row>
    <row r="110" customFormat="false" ht="15.75" hidden="false" customHeight="true" outlineLevel="0" collapsed="false">
      <c r="D110" s="18"/>
    </row>
    <row r="111" customFormat="false" ht="15.75" hidden="false" customHeight="true" outlineLevel="0" collapsed="false">
      <c r="D111" s="18"/>
    </row>
    <row r="112" customFormat="false" ht="15.75" hidden="false" customHeight="true" outlineLevel="0" collapsed="false">
      <c r="D112" s="18"/>
    </row>
    <row r="113" customFormat="false" ht="15.75" hidden="false" customHeight="true" outlineLevel="0" collapsed="false">
      <c r="D113" s="18"/>
    </row>
    <row r="114" customFormat="false" ht="15.75" hidden="false" customHeight="true" outlineLevel="0" collapsed="false">
      <c r="D114" s="18"/>
    </row>
    <row r="115" customFormat="false" ht="15.75" hidden="false" customHeight="true" outlineLevel="0" collapsed="false">
      <c r="D115" s="18"/>
    </row>
    <row r="116" customFormat="false" ht="15.75" hidden="false" customHeight="true" outlineLevel="0" collapsed="false">
      <c r="D116" s="18"/>
    </row>
    <row r="117" customFormat="false" ht="15.75" hidden="false" customHeight="true" outlineLevel="0" collapsed="false">
      <c r="D117" s="18"/>
    </row>
    <row r="118" customFormat="false" ht="15.75" hidden="false" customHeight="true" outlineLevel="0" collapsed="false">
      <c r="D118" s="18"/>
    </row>
    <row r="119" customFormat="false" ht="15.75" hidden="false" customHeight="true" outlineLevel="0" collapsed="false">
      <c r="D119" s="18"/>
    </row>
    <row r="120" customFormat="false" ht="15.75" hidden="false" customHeight="true" outlineLevel="0" collapsed="false">
      <c r="D120" s="18"/>
    </row>
    <row r="121" customFormat="false" ht="15.75" hidden="false" customHeight="true" outlineLevel="0" collapsed="false">
      <c r="D121" s="18"/>
    </row>
    <row r="122" customFormat="false" ht="15.75" hidden="false" customHeight="true" outlineLevel="0" collapsed="false">
      <c r="D122" s="18"/>
    </row>
    <row r="123" customFormat="false" ht="15.75" hidden="false" customHeight="true" outlineLevel="0" collapsed="false">
      <c r="D123" s="18"/>
    </row>
    <row r="124" customFormat="false" ht="15.75" hidden="false" customHeight="true" outlineLevel="0" collapsed="false">
      <c r="D124" s="18"/>
    </row>
    <row r="125" customFormat="false" ht="15.75" hidden="false" customHeight="true" outlineLevel="0" collapsed="false">
      <c r="D125" s="18"/>
    </row>
    <row r="126" customFormat="false" ht="15.75" hidden="false" customHeight="true" outlineLevel="0" collapsed="false">
      <c r="D126" s="18"/>
    </row>
    <row r="127" customFormat="false" ht="15.75" hidden="false" customHeight="true" outlineLevel="0" collapsed="false">
      <c r="D127" s="18"/>
    </row>
    <row r="128" customFormat="false" ht="15.75" hidden="false" customHeight="true" outlineLevel="0" collapsed="false">
      <c r="D128" s="18"/>
    </row>
    <row r="129" customFormat="false" ht="15.75" hidden="false" customHeight="true" outlineLevel="0" collapsed="false">
      <c r="D129" s="18"/>
    </row>
    <row r="130" customFormat="false" ht="15.75" hidden="false" customHeight="true" outlineLevel="0" collapsed="false">
      <c r="D130" s="18"/>
    </row>
    <row r="131" customFormat="false" ht="15.75" hidden="false" customHeight="true" outlineLevel="0" collapsed="false">
      <c r="D131" s="18"/>
    </row>
    <row r="132" customFormat="false" ht="15.75" hidden="false" customHeight="true" outlineLevel="0" collapsed="false">
      <c r="D132" s="18"/>
    </row>
    <row r="133" customFormat="false" ht="15.75" hidden="false" customHeight="true" outlineLevel="0" collapsed="false">
      <c r="D133" s="18"/>
    </row>
    <row r="134" customFormat="false" ht="15.75" hidden="false" customHeight="true" outlineLevel="0" collapsed="false">
      <c r="D134" s="18"/>
    </row>
    <row r="135" customFormat="false" ht="15.75" hidden="false" customHeight="true" outlineLevel="0" collapsed="false">
      <c r="D135" s="18"/>
    </row>
    <row r="136" customFormat="false" ht="15.75" hidden="false" customHeight="true" outlineLevel="0" collapsed="false">
      <c r="D136" s="18"/>
    </row>
    <row r="137" customFormat="false" ht="15.75" hidden="false" customHeight="true" outlineLevel="0" collapsed="false">
      <c r="D137" s="18"/>
    </row>
    <row r="138" customFormat="false" ht="15.75" hidden="false" customHeight="true" outlineLevel="0" collapsed="false">
      <c r="D138" s="18"/>
    </row>
    <row r="139" customFormat="false" ht="15.75" hidden="false" customHeight="true" outlineLevel="0" collapsed="false">
      <c r="D139" s="18"/>
    </row>
    <row r="140" customFormat="false" ht="15.75" hidden="false" customHeight="true" outlineLevel="0" collapsed="false">
      <c r="D140" s="18"/>
    </row>
    <row r="141" customFormat="false" ht="15.75" hidden="false" customHeight="true" outlineLevel="0" collapsed="false">
      <c r="D141" s="18"/>
    </row>
    <row r="142" customFormat="false" ht="15.75" hidden="false" customHeight="true" outlineLevel="0" collapsed="false">
      <c r="D142" s="18"/>
    </row>
    <row r="143" customFormat="false" ht="15.75" hidden="false" customHeight="true" outlineLevel="0" collapsed="false">
      <c r="D143" s="18"/>
    </row>
    <row r="144" customFormat="false" ht="15.75" hidden="false" customHeight="true" outlineLevel="0" collapsed="false">
      <c r="D144" s="18"/>
    </row>
    <row r="145" customFormat="false" ht="15.75" hidden="false" customHeight="true" outlineLevel="0" collapsed="false">
      <c r="D145" s="18"/>
    </row>
    <row r="146" customFormat="false" ht="15.75" hidden="false" customHeight="true" outlineLevel="0" collapsed="false">
      <c r="D146" s="18"/>
    </row>
    <row r="147" customFormat="false" ht="15.75" hidden="false" customHeight="true" outlineLevel="0" collapsed="false">
      <c r="D147" s="18"/>
    </row>
    <row r="148" customFormat="false" ht="15.75" hidden="false" customHeight="true" outlineLevel="0" collapsed="false">
      <c r="D148" s="18"/>
    </row>
    <row r="149" customFormat="false" ht="15.75" hidden="false" customHeight="true" outlineLevel="0" collapsed="false">
      <c r="D149" s="18"/>
    </row>
    <row r="150" customFormat="false" ht="15.75" hidden="false" customHeight="true" outlineLevel="0" collapsed="false">
      <c r="D150" s="18"/>
    </row>
    <row r="151" customFormat="false" ht="15.75" hidden="false" customHeight="true" outlineLevel="0" collapsed="false">
      <c r="D151" s="18"/>
    </row>
    <row r="152" customFormat="false" ht="15.75" hidden="false" customHeight="true" outlineLevel="0" collapsed="false">
      <c r="D152" s="18"/>
    </row>
    <row r="153" customFormat="false" ht="15.75" hidden="false" customHeight="true" outlineLevel="0" collapsed="false">
      <c r="D153" s="18"/>
    </row>
    <row r="154" customFormat="false" ht="15.75" hidden="false" customHeight="true" outlineLevel="0" collapsed="false">
      <c r="D154" s="18"/>
    </row>
    <row r="155" customFormat="false" ht="15.75" hidden="false" customHeight="true" outlineLevel="0" collapsed="false">
      <c r="D155" s="18"/>
    </row>
    <row r="156" customFormat="false" ht="15.75" hidden="false" customHeight="true" outlineLevel="0" collapsed="false">
      <c r="D156" s="18"/>
    </row>
    <row r="157" customFormat="false" ht="15.75" hidden="false" customHeight="true" outlineLevel="0" collapsed="false">
      <c r="D157" s="18"/>
    </row>
    <row r="158" customFormat="false" ht="15.75" hidden="false" customHeight="true" outlineLevel="0" collapsed="false">
      <c r="D158" s="18"/>
    </row>
    <row r="159" customFormat="false" ht="15.75" hidden="false" customHeight="true" outlineLevel="0" collapsed="false">
      <c r="D159" s="18"/>
    </row>
    <row r="160" customFormat="false" ht="15.75" hidden="false" customHeight="true" outlineLevel="0" collapsed="false">
      <c r="D160" s="18"/>
    </row>
    <row r="161" customFormat="false" ht="15.75" hidden="false" customHeight="true" outlineLevel="0" collapsed="false">
      <c r="D161" s="18"/>
    </row>
    <row r="162" customFormat="false" ht="15.75" hidden="false" customHeight="true" outlineLevel="0" collapsed="false">
      <c r="D162" s="18"/>
    </row>
    <row r="163" customFormat="false" ht="15.75" hidden="false" customHeight="true" outlineLevel="0" collapsed="false">
      <c r="D163" s="18"/>
    </row>
    <row r="164" customFormat="false" ht="15.75" hidden="false" customHeight="true" outlineLevel="0" collapsed="false">
      <c r="D164" s="18"/>
    </row>
    <row r="165" customFormat="false" ht="15.75" hidden="false" customHeight="true" outlineLevel="0" collapsed="false">
      <c r="D165" s="18"/>
    </row>
    <row r="166" customFormat="false" ht="15.75" hidden="false" customHeight="true" outlineLevel="0" collapsed="false">
      <c r="D166" s="18"/>
    </row>
    <row r="167" customFormat="false" ht="15.75" hidden="false" customHeight="true" outlineLevel="0" collapsed="false">
      <c r="D167" s="18"/>
    </row>
    <row r="168" customFormat="false" ht="15.75" hidden="false" customHeight="true" outlineLevel="0" collapsed="false">
      <c r="D168" s="18"/>
    </row>
    <row r="169" customFormat="false" ht="15.75" hidden="false" customHeight="true" outlineLevel="0" collapsed="false">
      <c r="D169" s="18"/>
    </row>
    <row r="170" customFormat="false" ht="15.75" hidden="false" customHeight="true" outlineLevel="0" collapsed="false">
      <c r="D170" s="18"/>
    </row>
    <row r="171" customFormat="false" ht="15.75" hidden="false" customHeight="true" outlineLevel="0" collapsed="false">
      <c r="D171" s="18"/>
    </row>
    <row r="172" customFormat="false" ht="15.75" hidden="false" customHeight="true" outlineLevel="0" collapsed="false">
      <c r="D172" s="18"/>
    </row>
    <row r="173" customFormat="false" ht="15.75" hidden="false" customHeight="true" outlineLevel="0" collapsed="false">
      <c r="D173" s="18"/>
    </row>
    <row r="174" customFormat="false" ht="15.75" hidden="false" customHeight="true" outlineLevel="0" collapsed="false">
      <c r="D174" s="18"/>
    </row>
    <row r="175" customFormat="false" ht="15.75" hidden="false" customHeight="true" outlineLevel="0" collapsed="false">
      <c r="D175" s="18"/>
    </row>
    <row r="176" customFormat="false" ht="15.75" hidden="false" customHeight="true" outlineLevel="0" collapsed="false">
      <c r="D176" s="18"/>
    </row>
    <row r="177" customFormat="false" ht="15.75" hidden="false" customHeight="true" outlineLevel="0" collapsed="false">
      <c r="D177" s="18"/>
    </row>
    <row r="178" customFormat="false" ht="15.75" hidden="false" customHeight="true" outlineLevel="0" collapsed="false">
      <c r="D178" s="18"/>
    </row>
    <row r="179" customFormat="false" ht="15.75" hidden="false" customHeight="true" outlineLevel="0" collapsed="false">
      <c r="D179" s="18"/>
    </row>
    <row r="180" customFormat="false" ht="15.75" hidden="false" customHeight="true" outlineLevel="0" collapsed="false">
      <c r="D180" s="18"/>
    </row>
    <row r="181" customFormat="false" ht="15.75" hidden="false" customHeight="true" outlineLevel="0" collapsed="false">
      <c r="D181" s="18"/>
    </row>
    <row r="182" customFormat="false" ht="15.75" hidden="false" customHeight="true" outlineLevel="0" collapsed="false">
      <c r="D182" s="18"/>
    </row>
    <row r="183" customFormat="false" ht="15.75" hidden="false" customHeight="true" outlineLevel="0" collapsed="false">
      <c r="D183" s="18"/>
    </row>
    <row r="184" customFormat="false" ht="15.75" hidden="false" customHeight="true" outlineLevel="0" collapsed="false">
      <c r="D184" s="18"/>
    </row>
    <row r="185" customFormat="false" ht="15.75" hidden="false" customHeight="true" outlineLevel="0" collapsed="false">
      <c r="D185" s="18"/>
    </row>
    <row r="186" customFormat="false" ht="15.75" hidden="false" customHeight="true" outlineLevel="0" collapsed="false">
      <c r="D186" s="18"/>
    </row>
    <row r="187" customFormat="false" ht="15.75" hidden="false" customHeight="true" outlineLevel="0" collapsed="false">
      <c r="D187" s="18"/>
    </row>
    <row r="188" customFormat="false" ht="15.75" hidden="false" customHeight="true" outlineLevel="0" collapsed="false">
      <c r="D188" s="18"/>
    </row>
    <row r="189" customFormat="false" ht="15.75" hidden="false" customHeight="true" outlineLevel="0" collapsed="false">
      <c r="D189" s="18"/>
    </row>
    <row r="190" customFormat="false" ht="15.75" hidden="false" customHeight="true" outlineLevel="0" collapsed="false">
      <c r="D190" s="18"/>
    </row>
    <row r="191" customFormat="false" ht="15.75" hidden="false" customHeight="true" outlineLevel="0" collapsed="false">
      <c r="D191" s="18"/>
    </row>
    <row r="192" customFormat="false" ht="15.75" hidden="false" customHeight="true" outlineLevel="0" collapsed="false">
      <c r="D192" s="18"/>
    </row>
    <row r="193" customFormat="false" ht="15.75" hidden="false" customHeight="true" outlineLevel="0" collapsed="false">
      <c r="D193" s="18"/>
    </row>
    <row r="194" customFormat="false" ht="15.75" hidden="false" customHeight="true" outlineLevel="0" collapsed="false">
      <c r="D194" s="18"/>
    </row>
    <row r="195" customFormat="false" ht="15.75" hidden="false" customHeight="true" outlineLevel="0" collapsed="false">
      <c r="D195" s="18"/>
    </row>
    <row r="196" customFormat="false" ht="15.75" hidden="false" customHeight="true" outlineLevel="0" collapsed="false">
      <c r="D196" s="18"/>
    </row>
    <row r="197" customFormat="false" ht="15.75" hidden="false" customHeight="true" outlineLevel="0" collapsed="false">
      <c r="D197" s="18"/>
    </row>
    <row r="198" customFormat="false" ht="15.75" hidden="false" customHeight="true" outlineLevel="0" collapsed="false">
      <c r="D198" s="18"/>
    </row>
    <row r="199" customFormat="false" ht="15.75" hidden="false" customHeight="true" outlineLevel="0" collapsed="false">
      <c r="D199" s="18"/>
    </row>
    <row r="200" customFormat="false" ht="15.75" hidden="false" customHeight="true" outlineLevel="0" collapsed="false">
      <c r="D200" s="18"/>
    </row>
    <row r="201" customFormat="false" ht="15.75" hidden="false" customHeight="true" outlineLevel="0" collapsed="false">
      <c r="D201" s="18"/>
    </row>
    <row r="202" customFormat="false" ht="15.75" hidden="false" customHeight="true" outlineLevel="0" collapsed="false">
      <c r="D202" s="18"/>
    </row>
    <row r="203" customFormat="false" ht="15.75" hidden="false" customHeight="true" outlineLevel="0" collapsed="false">
      <c r="D203" s="18"/>
    </row>
    <row r="204" customFormat="false" ht="15.75" hidden="false" customHeight="true" outlineLevel="0" collapsed="false">
      <c r="D204" s="18"/>
    </row>
    <row r="205" customFormat="false" ht="15.75" hidden="false" customHeight="true" outlineLevel="0" collapsed="false">
      <c r="D205" s="18"/>
    </row>
    <row r="206" customFormat="false" ht="15.75" hidden="false" customHeight="true" outlineLevel="0" collapsed="false">
      <c r="D206" s="18"/>
    </row>
    <row r="207" customFormat="false" ht="15.75" hidden="false" customHeight="true" outlineLevel="0" collapsed="false">
      <c r="D207" s="18"/>
    </row>
    <row r="208" customFormat="false" ht="15.75" hidden="false" customHeight="true" outlineLevel="0" collapsed="false">
      <c r="D208" s="18"/>
    </row>
    <row r="209" customFormat="false" ht="15.75" hidden="false" customHeight="true" outlineLevel="0" collapsed="false">
      <c r="D209" s="18"/>
    </row>
    <row r="210" customFormat="false" ht="15.75" hidden="false" customHeight="true" outlineLevel="0" collapsed="false">
      <c r="D210" s="18"/>
    </row>
    <row r="211" customFormat="false" ht="15.75" hidden="false" customHeight="true" outlineLevel="0" collapsed="false">
      <c r="D211" s="18"/>
    </row>
    <row r="212" customFormat="false" ht="15.75" hidden="false" customHeight="true" outlineLevel="0" collapsed="false">
      <c r="D212" s="18"/>
    </row>
    <row r="213" customFormat="false" ht="15.75" hidden="false" customHeight="true" outlineLevel="0" collapsed="false">
      <c r="D213" s="18"/>
    </row>
    <row r="214" customFormat="false" ht="15.75" hidden="false" customHeight="true" outlineLevel="0" collapsed="false">
      <c r="D214" s="18"/>
    </row>
    <row r="215" customFormat="false" ht="15.75" hidden="false" customHeight="true" outlineLevel="0" collapsed="false">
      <c r="D215" s="18"/>
    </row>
    <row r="216" customFormat="false" ht="15.75" hidden="false" customHeight="true" outlineLevel="0" collapsed="false">
      <c r="D216" s="18"/>
    </row>
    <row r="217" customFormat="false" ht="15.75" hidden="false" customHeight="true" outlineLevel="0" collapsed="false">
      <c r="D217" s="18"/>
    </row>
    <row r="218" customFormat="false" ht="15.75" hidden="false" customHeight="true" outlineLevel="0" collapsed="false">
      <c r="D218" s="18"/>
    </row>
    <row r="219" customFormat="false" ht="15.75" hidden="false" customHeight="true" outlineLevel="0" collapsed="false">
      <c r="D219" s="18"/>
    </row>
    <row r="220" customFormat="false" ht="15.75" hidden="false" customHeight="true" outlineLevel="0" collapsed="false">
      <c r="D220" s="18"/>
    </row>
    <row r="221" customFormat="false" ht="15.75" hidden="false" customHeight="true" outlineLevel="0" collapsed="false">
      <c r="D221" s="18"/>
    </row>
    <row r="222" customFormat="false" ht="15.75" hidden="false" customHeight="true" outlineLevel="0" collapsed="false">
      <c r="D222" s="18"/>
    </row>
    <row r="223" customFormat="false" ht="15.75" hidden="false" customHeight="true" outlineLevel="0" collapsed="false">
      <c r="D223" s="18"/>
    </row>
    <row r="224" customFormat="false" ht="15.75" hidden="false" customHeight="true" outlineLevel="0" collapsed="false">
      <c r="D224" s="18"/>
    </row>
    <row r="225" customFormat="false" ht="15.75" hidden="false" customHeight="true" outlineLevel="0" collapsed="false">
      <c r="D225" s="18"/>
    </row>
    <row r="226" customFormat="false" ht="15.75" hidden="false" customHeight="true" outlineLevel="0" collapsed="false">
      <c r="D226" s="18"/>
    </row>
    <row r="227" customFormat="false" ht="15.75" hidden="false" customHeight="true" outlineLevel="0" collapsed="false">
      <c r="D227" s="18"/>
    </row>
    <row r="228" customFormat="false" ht="15.75" hidden="false" customHeight="true" outlineLevel="0" collapsed="false">
      <c r="D228" s="18"/>
    </row>
    <row r="229" customFormat="false" ht="15.75" hidden="false" customHeight="true" outlineLevel="0" collapsed="false">
      <c r="D229" s="18"/>
    </row>
    <row r="230" customFormat="false" ht="15.75" hidden="false" customHeight="true" outlineLevel="0" collapsed="false">
      <c r="D230" s="18"/>
    </row>
    <row r="231" customFormat="false" ht="15.75" hidden="false" customHeight="true" outlineLevel="0" collapsed="false">
      <c r="D231" s="18"/>
    </row>
    <row r="232" customFormat="false" ht="15.75" hidden="false" customHeight="true" outlineLevel="0" collapsed="false">
      <c r="D232" s="18"/>
    </row>
    <row r="233" customFormat="false" ht="15.75" hidden="false" customHeight="true" outlineLevel="0" collapsed="false">
      <c r="D233" s="18"/>
    </row>
    <row r="234" customFormat="false" ht="15.75" hidden="false" customHeight="true" outlineLevel="0" collapsed="false">
      <c r="D234" s="18"/>
    </row>
    <row r="235" customFormat="false" ht="15.75" hidden="false" customHeight="true" outlineLevel="0" collapsed="false">
      <c r="D235" s="18"/>
    </row>
    <row r="236" customFormat="false" ht="15.75" hidden="false" customHeight="true" outlineLevel="0" collapsed="false">
      <c r="D236" s="18"/>
    </row>
    <row r="237" customFormat="false" ht="15.75" hidden="false" customHeight="true" outlineLevel="0" collapsed="false">
      <c r="D237" s="18"/>
    </row>
    <row r="238" customFormat="false" ht="15.75" hidden="false" customHeight="true" outlineLevel="0" collapsed="false">
      <c r="D238" s="18"/>
    </row>
    <row r="239" customFormat="false" ht="15.75" hidden="false" customHeight="true" outlineLevel="0" collapsed="false">
      <c r="D239" s="18"/>
    </row>
    <row r="240" customFormat="false" ht="15.75" hidden="false" customHeight="true" outlineLevel="0" collapsed="false">
      <c r="D240" s="18"/>
    </row>
    <row r="241" customFormat="false" ht="15.75" hidden="false" customHeight="true" outlineLevel="0" collapsed="false">
      <c r="D241" s="18"/>
    </row>
    <row r="242" customFormat="false" ht="15.75" hidden="false" customHeight="true" outlineLevel="0" collapsed="false">
      <c r="D242" s="18"/>
    </row>
    <row r="243" customFormat="false" ht="15.75" hidden="false" customHeight="true" outlineLevel="0" collapsed="false">
      <c r="D243" s="18"/>
    </row>
    <row r="244" customFormat="false" ht="15.75" hidden="false" customHeight="true" outlineLevel="0" collapsed="false">
      <c r="D244" s="18"/>
    </row>
    <row r="245" customFormat="false" ht="15.75" hidden="false" customHeight="true" outlineLevel="0" collapsed="false">
      <c r="D245" s="18"/>
    </row>
    <row r="246" customFormat="false" ht="15.75" hidden="false" customHeight="true" outlineLevel="0" collapsed="false">
      <c r="D246" s="18"/>
    </row>
    <row r="247" customFormat="false" ht="15.75" hidden="false" customHeight="true" outlineLevel="0" collapsed="false">
      <c r="D247" s="18"/>
    </row>
    <row r="248" customFormat="false" ht="15.75" hidden="false" customHeight="true" outlineLevel="0" collapsed="false">
      <c r="D248" s="18"/>
    </row>
    <row r="249" customFormat="false" ht="15.75" hidden="false" customHeight="true" outlineLevel="0" collapsed="false">
      <c r="D249" s="18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E1:AH1"/>
    <mergeCell ref="G27:J27"/>
    <mergeCell ref="K27:N27"/>
    <mergeCell ref="Q27:U27"/>
    <mergeCell ref="G28:G29"/>
    <mergeCell ref="K28:K29"/>
    <mergeCell ref="G37:J37"/>
    <mergeCell ref="M38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2026-10-09T13:21:00Z</dcterms:created>
  <dc:creator>openpyxl</dc:creator>
  <dc:description/>
  <dc:language>en-US</dc:language>
  <cp:lastModifiedBy>Tú Lê</cp:lastModifiedBy>
  <dcterms:modified xsi:type="dcterms:W3CDTF">2026-10-09T13:21:01Z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